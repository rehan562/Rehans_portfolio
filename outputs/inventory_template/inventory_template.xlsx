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a88ccbbf38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 Register" sheetId="1" r:id="Rf5bad64a2c784900"/>
    <x:sheet xmlns:r="http://schemas.openxmlformats.org/officeDocument/2006/relationships" name="Lists" sheetId="2" r:id="Rf960f472a0d94b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@"/>
    <x:numFmt numFmtId="202" formatCode="#,##0"/>
    <x:numFmt numFmtId="203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A5568"/>
      <x:name val="Carlito"/>
    </x:font>
    <x:font>
      <x:b/>
      <x:sz val="11"/>
      <x:color rgb="FF17365D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8FBFF"/>
      </x:patternFill>
    </x:fill>
    <x:fill>
      <x:patternFill patternType="solid">
        <x:fgColor rgb="FF0F766E"/>
      </x:patternFill>
    </x:fill>
  </x:fills>
  <x:borders count="12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bottom style="thin">
        <x:color rgb="FFE7EDF5"/>
      </x:bottom>
    </x:border>
    <x:border>
      <x:left style="thin">
        <x:color rgb="FFE7EDF5"/>
      </x:left>
      <x:bottom style="thin">
        <x:color rgb="FFE7EDF5"/>
      </x:bottom>
    </x:border>
    <x:border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right style="thin">
        <x:color rgb="FFE7EDF5"/>
      </x:right>
      <x:top style="thin">
        <x:color rgb="FFE7EDF5"/>
      </x:top>
      <x:bottom style="thin">
        <x:color rgb="FFE7EDF5"/>
      </x:bottom>
    </x:border>
    <x:border>
      <x:left style="thin">
        <x:color rgb="FFE7EDF5"/>
      </x:left>
      <x:top style="thin">
        <x:color rgb="FFE7EDF5"/>
      </x:top>
      <x:bottom style="thin">
        <x:color rgb="FFE7EDF5"/>
      </x:bottom>
    </x:border>
    <x:border>
      <x:right style="thin">
        <x:color rgb="FFE7EDF5"/>
      </x:right>
      <x:top style="thin">
        <x:color rgb="FFE7EDF5"/>
      </x:top>
    </x:border>
    <x:border>
      <x:left style="thin">
        <x:color rgb="FFE7EDF5"/>
      </x:left>
      <x:right style="thin">
        <x:color rgb="FFE7EDF5"/>
      </x:right>
      <x:top style="thin">
        <x:color rgb="FFE7EDF5"/>
      </x:top>
    </x:border>
    <x:border>
      <x:left style="thin">
        <x:color rgb="FFE7EDF5"/>
      </x:left>
      <x:top style="thin">
        <x:color rgb="FFE7EDF5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7" xfId="0" applyNumberFormat="1" applyFont="1" applyFill="1" applyBorder="1" applyAlignment="1">
      <x:alignment vertical="center"/>
    </x:xf>
    <x:xf numFmtId="202" fontId="0" fillId="0" borderId="10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7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7" xfId="0" applyNumberFormat="1" applyFont="1" applyFill="1" applyBorder="1" applyAlignment="1">
      <x:alignment vertical="center"/>
    </x:xf>
    <x:xf numFmtId="203" fontId="0" fillId="0" borderId="1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5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6F4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cbc830cae403d" /><Relationship Type="http://schemas.openxmlformats.org/officeDocument/2006/relationships/theme" Target="/xl/theme/theme1.xml" Id="R9cbd62b10e6146b8" /><Relationship Type="http://schemas.openxmlformats.org/officeDocument/2006/relationships/sharedStrings" Target="/xl/sharedStrings.xml" Id="Rf48c56fa9ec049dd" /><Relationship Type="http://schemas.openxmlformats.org/officeDocument/2006/relationships/worksheet" Target="/xl/worksheets/sheet1.xml" Id="Rf5bad64a2c784900" /><Relationship Type="http://schemas.openxmlformats.org/officeDocument/2006/relationships/worksheet" Target="/xl/worksheets/sheet2.xml" Id="Rf960f472a0d94bd8" /></Relationships>
</file>

<file path=xl/tables/table1.xml><?xml version="1.0" encoding="utf-8"?>
<x:table xmlns:x="http://schemas.openxmlformats.org/spreadsheetml/2006/main" id="1" name="InventoryTable" displayName="InventoryTable" ref="A7:N107" headerRowCount="1" totalsRowCount="0" totalsRowShown="0">
  <x:tableColumns count="14">
    <x:tableColumn id="1" name="Item ID"/>
    <x:tableColumn id="2" name="Item Name"/>
    <x:tableColumn id="3" name="Category"/>
    <x:tableColumn id="4" name="Description"/>
    <x:tableColumn id="5" name="Supplier"/>
    <x:tableColumn id="6" name="Location"/>
    <x:tableColumn id="7" name="Unit"/>
    <x:tableColumn id="8" name="Quantity in Stock"/>
    <x:tableColumn id="9" name="Reorder Level"/>
    <x:tableColumn id="10" name="Unit Cost"/>
    <x:tableColumn id="11" name="Selling Price"/>
    <x:tableColumn id="12" name="Last Restocked"/>
    <x:tableColumn id="13" name="Stock Value"/>
    <x:tableColumn id="14" name="Stock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15006d19044e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30" hidden="0" customWidth="1"/>
    <x:col min="5" max="5" width="21" hidden="0" customWidth="1"/>
    <x:col min="6" max="6" width="16" hidden="0" customWidth="1"/>
    <x:col min="7" max="7" width="11" hidden="0" customWidth="1"/>
    <x:col min="8" max="8" width="16" hidden="0" customWidth="1"/>
    <x:col min="9" max="9" width="14" hidden="0" customWidth="1"/>
    <x:col min="10" max="10" width="13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</x:cols>
  <x:sheetData>
    <x:row r="1" ht="32" customHeight="1">
      <x:c r="A1" s="4" t="str">
        <x:v>Inventory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2" customHeight="1">
      <x:c r="A2" s="7" t="str">
        <x:v>Enter one item per row. Stock Status and Stock Value update automatically.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2" customHeight="1">
      <x:c r="A4" s="14" t="str">
        <x:v>Total Items</x:v>
      </x:c>
      <x:c r="B4" s="15"/>
      <x:c r="D4" s="14" t="str">
        <x:v>Units in Stock</x:v>
      </x:c>
      <x:c r="E4" s="15"/>
      <x:c r="G4" s="14" t="str">
        <x:v>Inventory Value</x:v>
      </x:c>
      <x:c r="H4" s="15"/>
      <x:c r="J4" s="14" t="str">
        <x:v>Low Stock Items</x:v>
      </x:c>
      <x:c r="K4" s="15"/>
      <x:c r="M4" s="14" t="str">
        <x:v>Out of Stock</x:v>
      </x:c>
      <x:c r="N4" s="15"/>
    </x:row>
    <x:row r="5" ht="22" customHeight="1">
      <x:c r="A5" s="22" t="n">
        <x:f>COUNTIF($B$8:$B$107,"&lt;&gt;")</x:f>
        <x:v>0</x:v>
      </x:c>
      <x:c r="B5" s="23"/>
      <x:c r="D5" s="22" t="n">
        <x:f>SUM($H$8:$H$107)</x:f>
        <x:v>0</x:v>
      </x:c>
      <x:c r="E5" s="23"/>
      <x:c r="G5" s="24" t="n">
        <x:f>SUM($M$8:$M$107)</x:f>
        <x:v>0</x:v>
      </x:c>
      <x:c r="H5" s="23"/>
      <x:c r="J5" s="22" t="n">
        <x:f>COUNTIF($N$8:$N$107,"Low Stock")</x:f>
        <x:v>0</x:v>
      </x:c>
      <x:c r="K5" s="23"/>
      <x:c r="M5" s="22" t="n">
        <x:f>COUNTIF($N$8:$N$107,"Out of Stock")</x:f>
        <x:v>0</x:v>
      </x:c>
      <x:c r="N5" s="23"/>
    </x:row>
    <x:row r="7" ht="34" customHeight="1">
      <x:c r="A7" s="29" t="str">
        <x:v>Item ID</x:v>
      </x:c>
      <x:c r="B7" s="29" t="str">
        <x:v>Item Name</x:v>
      </x:c>
      <x:c r="C7" s="29" t="str">
        <x:v>Category</x:v>
      </x:c>
      <x:c r="D7" s="29" t="str">
        <x:v>Description</x:v>
      </x:c>
      <x:c r="E7" s="29" t="str">
        <x:v>Supplier</x:v>
      </x:c>
      <x:c r="F7" s="29" t="str">
        <x:v>Location</x:v>
      </x:c>
      <x:c r="G7" s="29" t="str">
        <x:v>Unit</x:v>
      </x:c>
      <x:c r="H7" s="29" t="str">
        <x:v>Quantity in Stock</x:v>
      </x:c>
      <x:c r="I7" s="29" t="str">
        <x:v>Reorder Level</x:v>
      </x:c>
      <x:c r="J7" s="29" t="str">
        <x:v>Unit Cost</x:v>
      </x:c>
      <x:c r="K7" s="29" t="str">
        <x:v>Selling Price</x:v>
      </x:c>
      <x:c r="L7" s="29" t="str">
        <x:v>Last Restocked</x:v>
      </x:c>
      <x:c r="M7" s="29" t="str">
        <x:v>Stock Value</x:v>
      </x:c>
      <x:c r="N7" s="29" t="str">
        <x:v>Stock Status</x:v>
      </x:c>
    </x:row>
    <x:row r="8">
      <x:c r="A8" s="48"/>
      <x:c r="B8" s="40"/>
      <x:c r="C8" s="40"/>
      <x:c r="D8" s="40"/>
      <x:c r="E8" s="40"/>
      <x:c r="F8" s="40"/>
      <x:c r="G8" s="40"/>
      <x:c r="H8" s="51"/>
      <x:c r="I8" s="51"/>
      <x:c r="J8" s="54"/>
      <x:c r="K8" s="54"/>
      <x:c r="L8" s="57"/>
      <x:c r="M8" s="54" t="str">
        <x:f>IF(OR(H8="",J8=""),"",H8*J8)</x:f>
      </x:c>
      <x:c r="N8" s="41" t="str">
        <x:f>IF(B8="","",IF(H8=0,"Out of Stock",IF(H8&lt;=I8,"Low Stock","In Stock")))</x:f>
      </x:c>
    </x:row>
    <x:row r="9">
      <x:c r="A9" s="49"/>
      <x:c r="B9" s="43"/>
      <x:c r="C9" s="43"/>
      <x:c r="D9" s="43"/>
      <x:c r="E9" s="43"/>
      <x:c r="F9" s="43"/>
      <x:c r="G9" s="43"/>
      <x:c r="H9" s="52"/>
      <x:c r="I9" s="52"/>
      <x:c r="J9" s="55"/>
      <x:c r="K9" s="55"/>
      <x:c r="L9" s="58"/>
      <x:c r="M9" s="55" t="str">
        <x:f>IF(OR(H9="",J9=""),"",H9*J9)</x:f>
      </x:c>
      <x:c r="N9" s="44" t="str">
        <x:f>IF(B9="","",IF(H9=0,"Out of Stock",IF(H9&lt;=I9,"Low Stock","In Stock")))</x:f>
      </x:c>
    </x:row>
    <x:row r="10">
      <x:c r="A10" s="49"/>
      <x:c r="B10" s="43"/>
      <x:c r="C10" s="43"/>
      <x:c r="D10" s="43"/>
      <x:c r="E10" s="43"/>
      <x:c r="F10" s="43"/>
      <x:c r="G10" s="43"/>
      <x:c r="H10" s="52"/>
      <x:c r="I10" s="52"/>
      <x:c r="J10" s="55"/>
      <x:c r="K10" s="55"/>
      <x:c r="L10" s="58"/>
      <x:c r="M10" s="55" t="str">
        <x:f>IF(OR(H10="",J10=""),"",H10*J10)</x:f>
      </x:c>
      <x:c r="N10" s="44" t="str">
        <x:f>IF(B10="","",IF(H10=0,"Out of Stock",IF(H10&lt;=I10,"Low Stock","In Stock")))</x:f>
      </x:c>
    </x:row>
    <x:row r="11">
      <x:c r="A11" s="49"/>
      <x:c r="B11" s="43"/>
      <x:c r="C11" s="43"/>
      <x:c r="D11" s="43"/>
      <x:c r="E11" s="43"/>
      <x:c r="F11" s="43"/>
      <x:c r="G11" s="43"/>
      <x:c r="H11" s="52"/>
      <x:c r="I11" s="52"/>
      <x:c r="J11" s="55"/>
      <x:c r="K11" s="55"/>
      <x:c r="L11" s="58"/>
      <x:c r="M11" s="55" t="str">
        <x:f>IF(OR(H11="",J11=""),"",H11*J11)</x:f>
      </x:c>
      <x:c r="N11" s="44" t="str">
        <x:f>IF(B11="","",IF(H11=0,"Out of Stock",IF(H11&lt;=I11,"Low Stock","In Stock")))</x:f>
      </x:c>
    </x:row>
    <x:row r="12">
      <x:c r="A12" s="49"/>
      <x:c r="B12" s="43"/>
      <x:c r="C12" s="43"/>
      <x:c r="D12" s="43"/>
      <x:c r="E12" s="43"/>
      <x:c r="F12" s="43"/>
      <x:c r="G12" s="43"/>
      <x:c r="H12" s="52"/>
      <x:c r="I12" s="52"/>
      <x:c r="J12" s="55"/>
      <x:c r="K12" s="55"/>
      <x:c r="L12" s="58"/>
      <x:c r="M12" s="55" t="str">
        <x:f>IF(OR(H12="",J12=""),"",H12*J12)</x:f>
      </x:c>
      <x:c r="N12" s="44" t="str">
        <x:f>IF(B12="","",IF(H12=0,"Out of Stock",IF(H12&lt;=I12,"Low Stock","In Stock")))</x:f>
      </x:c>
    </x:row>
    <x:row r="13">
      <x:c r="A13" s="49"/>
      <x:c r="B13" s="43"/>
      <x:c r="C13" s="43"/>
      <x:c r="D13" s="43"/>
      <x:c r="E13" s="43"/>
      <x:c r="F13" s="43"/>
      <x:c r="G13" s="43"/>
      <x:c r="H13" s="52"/>
      <x:c r="I13" s="52"/>
      <x:c r="J13" s="55"/>
      <x:c r="K13" s="55"/>
      <x:c r="L13" s="58"/>
      <x:c r="M13" s="55" t="str">
        <x:f>IF(OR(H13="",J13=""),"",H13*J13)</x:f>
      </x:c>
      <x:c r="N13" s="44" t="str">
        <x:f>IF(B13="","",IF(H13=0,"Out of Stock",IF(H13&lt;=I13,"Low Stock","In Stock")))</x:f>
      </x:c>
    </x:row>
    <x:row r="14">
      <x:c r="A14" s="49"/>
      <x:c r="B14" s="43"/>
      <x:c r="C14" s="43"/>
      <x:c r="D14" s="43"/>
      <x:c r="E14" s="43"/>
      <x:c r="F14" s="43"/>
      <x:c r="G14" s="43"/>
      <x:c r="H14" s="52"/>
      <x:c r="I14" s="52"/>
      <x:c r="J14" s="55"/>
      <x:c r="K14" s="55"/>
      <x:c r="L14" s="58"/>
      <x:c r="M14" s="55" t="str">
        <x:f>IF(OR(H14="",J14=""),"",H14*J14)</x:f>
      </x:c>
      <x:c r="N14" s="44" t="str">
        <x:f>IF(B14="","",IF(H14=0,"Out of Stock",IF(H14&lt;=I14,"Low Stock","In Stock")))</x:f>
      </x:c>
    </x:row>
    <x:row r="15">
      <x:c r="A15" s="49"/>
      <x:c r="B15" s="43"/>
      <x:c r="C15" s="43"/>
      <x:c r="D15" s="43"/>
      <x:c r="E15" s="43"/>
      <x:c r="F15" s="43"/>
      <x:c r="G15" s="43"/>
      <x:c r="H15" s="52"/>
      <x:c r="I15" s="52"/>
      <x:c r="J15" s="55"/>
      <x:c r="K15" s="55"/>
      <x:c r="L15" s="58"/>
      <x:c r="M15" s="55" t="str">
        <x:f>IF(OR(H15="",J15=""),"",H15*J15)</x:f>
      </x:c>
      <x:c r="N15" s="44" t="str">
        <x:f>IF(B15="","",IF(H15=0,"Out of Stock",IF(H15&lt;=I15,"Low Stock","In Stock")))</x:f>
      </x:c>
    </x:row>
    <x:row r="16">
      <x:c r="A16" s="49"/>
      <x:c r="B16" s="43"/>
      <x:c r="C16" s="43"/>
      <x:c r="D16" s="43"/>
      <x:c r="E16" s="43"/>
      <x:c r="F16" s="43"/>
      <x:c r="G16" s="43"/>
      <x:c r="H16" s="52"/>
      <x:c r="I16" s="52"/>
      <x:c r="J16" s="55"/>
      <x:c r="K16" s="55"/>
      <x:c r="L16" s="58"/>
      <x:c r="M16" s="55" t="str">
        <x:f>IF(OR(H16="",J16=""),"",H16*J16)</x:f>
      </x:c>
      <x:c r="N16" s="44" t="str">
        <x:f>IF(B16="","",IF(H16=0,"Out of Stock",IF(H16&lt;=I16,"Low Stock","In Stock")))</x:f>
      </x:c>
    </x:row>
    <x:row r="17">
      <x:c r="A17" s="49"/>
      <x:c r="B17" s="43"/>
      <x:c r="C17" s="43"/>
      <x:c r="D17" s="43"/>
      <x:c r="E17" s="43"/>
      <x:c r="F17" s="43"/>
      <x:c r="G17" s="43"/>
      <x:c r="H17" s="52"/>
      <x:c r="I17" s="52"/>
      <x:c r="J17" s="55"/>
      <x:c r="K17" s="55"/>
      <x:c r="L17" s="58"/>
      <x:c r="M17" s="55" t="str">
        <x:f>IF(OR(H17="",J17=""),"",H17*J17)</x:f>
      </x:c>
      <x:c r="N17" s="44" t="str">
        <x:f>IF(B17="","",IF(H17=0,"Out of Stock",IF(H17&lt;=I17,"Low Stock","In Stock")))</x:f>
      </x:c>
    </x:row>
    <x:row r="18">
      <x:c r="A18" s="49"/>
      <x:c r="B18" s="43"/>
      <x:c r="C18" s="43"/>
      <x:c r="D18" s="43"/>
      <x:c r="E18" s="43"/>
      <x:c r="F18" s="43"/>
      <x:c r="G18" s="43"/>
      <x:c r="H18" s="52"/>
      <x:c r="I18" s="52"/>
      <x:c r="J18" s="55"/>
      <x:c r="K18" s="55"/>
      <x:c r="L18" s="58"/>
      <x:c r="M18" s="55" t="str">
        <x:f>IF(OR(H18="",J18=""),"",H18*J18)</x:f>
      </x:c>
      <x:c r="N18" s="44" t="str">
        <x:f>IF(B18="","",IF(H18=0,"Out of Stock",IF(H18&lt;=I18,"Low Stock","In Stock")))</x:f>
      </x:c>
    </x:row>
    <x:row r="19">
      <x:c r="A19" s="49"/>
      <x:c r="B19" s="43"/>
      <x:c r="C19" s="43"/>
      <x:c r="D19" s="43"/>
      <x:c r="E19" s="43"/>
      <x:c r="F19" s="43"/>
      <x:c r="G19" s="43"/>
      <x:c r="H19" s="52"/>
      <x:c r="I19" s="52"/>
      <x:c r="J19" s="55"/>
      <x:c r="K19" s="55"/>
      <x:c r="L19" s="58"/>
      <x:c r="M19" s="55" t="str">
        <x:f>IF(OR(H19="",J19=""),"",H19*J19)</x:f>
      </x:c>
      <x:c r="N19" s="44" t="str">
        <x:f>IF(B19="","",IF(H19=0,"Out of Stock",IF(H19&lt;=I19,"Low Stock","In Stock")))</x:f>
      </x:c>
    </x:row>
    <x:row r="20">
      <x:c r="A20" s="49"/>
      <x:c r="B20" s="43"/>
      <x:c r="C20" s="43"/>
      <x:c r="D20" s="43"/>
      <x:c r="E20" s="43"/>
      <x:c r="F20" s="43"/>
      <x:c r="G20" s="43"/>
      <x:c r="H20" s="52"/>
      <x:c r="I20" s="52"/>
      <x:c r="J20" s="55"/>
      <x:c r="K20" s="55"/>
      <x:c r="L20" s="58"/>
      <x:c r="M20" s="55" t="str">
        <x:f>IF(OR(H20="",J20=""),"",H20*J20)</x:f>
      </x:c>
      <x:c r="N20" s="44" t="str">
        <x:f>IF(B20="","",IF(H20=0,"Out of Stock",IF(H20&lt;=I20,"Low Stock","In Stock")))</x:f>
      </x:c>
    </x:row>
    <x:row r="21">
      <x:c r="A21" s="49"/>
      <x:c r="B21" s="43"/>
      <x:c r="C21" s="43"/>
      <x:c r="D21" s="43"/>
      <x:c r="E21" s="43"/>
      <x:c r="F21" s="43"/>
      <x:c r="G21" s="43"/>
      <x:c r="H21" s="52"/>
      <x:c r="I21" s="52"/>
      <x:c r="J21" s="55"/>
      <x:c r="K21" s="55"/>
      <x:c r="L21" s="58"/>
      <x:c r="M21" s="55" t="str">
        <x:f>IF(OR(H21="",J21=""),"",H21*J21)</x:f>
      </x:c>
      <x:c r="N21" s="44" t="str">
        <x:f>IF(B21="","",IF(H21=0,"Out of Stock",IF(H21&lt;=I21,"Low Stock","In Stock")))</x:f>
      </x:c>
    </x:row>
    <x:row r="22">
      <x:c r="A22" s="49"/>
      <x:c r="B22" s="43"/>
      <x:c r="C22" s="43"/>
      <x:c r="D22" s="43"/>
      <x:c r="E22" s="43"/>
      <x:c r="F22" s="43"/>
      <x:c r="G22" s="43"/>
      <x:c r="H22" s="52"/>
      <x:c r="I22" s="52"/>
      <x:c r="J22" s="55"/>
      <x:c r="K22" s="55"/>
      <x:c r="L22" s="58"/>
      <x:c r="M22" s="55" t="str">
        <x:f>IF(OR(H22="",J22=""),"",H22*J22)</x:f>
      </x:c>
      <x:c r="N22" s="44" t="str">
        <x:f>IF(B22="","",IF(H22=0,"Out of Stock",IF(H22&lt;=I22,"Low Stock","In Stock")))</x:f>
      </x:c>
    </x:row>
    <x:row r="23">
      <x:c r="A23" s="49"/>
      <x:c r="B23" s="43"/>
      <x:c r="C23" s="43"/>
      <x:c r="D23" s="43"/>
      <x:c r="E23" s="43"/>
      <x:c r="F23" s="43"/>
      <x:c r="G23" s="43"/>
      <x:c r="H23" s="52"/>
      <x:c r="I23" s="52"/>
      <x:c r="J23" s="55"/>
      <x:c r="K23" s="55"/>
      <x:c r="L23" s="58"/>
      <x:c r="M23" s="55" t="str">
        <x:f>IF(OR(H23="",J23=""),"",H23*J23)</x:f>
      </x:c>
      <x:c r="N23" s="44" t="str">
        <x:f>IF(B23="","",IF(H23=0,"Out of Stock",IF(H23&lt;=I23,"Low Stock","In Stock")))</x:f>
      </x:c>
    </x:row>
    <x:row r="24">
      <x:c r="A24" s="49"/>
      <x:c r="B24" s="43"/>
      <x:c r="C24" s="43"/>
      <x:c r="D24" s="43"/>
      <x:c r="E24" s="43"/>
      <x:c r="F24" s="43"/>
      <x:c r="G24" s="43"/>
      <x:c r="H24" s="52"/>
      <x:c r="I24" s="52"/>
      <x:c r="J24" s="55"/>
      <x:c r="K24" s="55"/>
      <x:c r="L24" s="58"/>
      <x:c r="M24" s="55" t="str">
        <x:f>IF(OR(H24="",J24=""),"",H24*J24)</x:f>
      </x:c>
      <x:c r="N24" s="44" t="str">
        <x:f>IF(B24="","",IF(H24=0,"Out of Stock",IF(H24&lt;=I24,"Low Stock","In Stock")))</x:f>
      </x:c>
    </x:row>
    <x:row r="25">
      <x:c r="A25" s="49"/>
      <x:c r="B25" s="43"/>
      <x:c r="C25" s="43"/>
      <x:c r="D25" s="43"/>
      <x:c r="E25" s="43"/>
      <x:c r="F25" s="43"/>
      <x:c r="G25" s="43"/>
      <x:c r="H25" s="52"/>
      <x:c r="I25" s="52"/>
      <x:c r="J25" s="55"/>
      <x:c r="K25" s="55"/>
      <x:c r="L25" s="58"/>
      <x:c r="M25" s="55" t="str">
        <x:f>IF(OR(H25="",J25=""),"",H25*J25)</x:f>
      </x:c>
      <x:c r="N25" s="44" t="str">
        <x:f>IF(B25="","",IF(H25=0,"Out of Stock",IF(H25&lt;=I25,"Low Stock","In Stock")))</x:f>
      </x:c>
    </x:row>
    <x:row r="26">
      <x:c r="A26" s="49"/>
      <x:c r="B26" s="43"/>
      <x:c r="C26" s="43"/>
      <x:c r="D26" s="43"/>
      <x:c r="E26" s="43"/>
      <x:c r="F26" s="43"/>
      <x:c r="G26" s="43"/>
      <x:c r="H26" s="52"/>
      <x:c r="I26" s="52"/>
      <x:c r="J26" s="55"/>
      <x:c r="K26" s="55"/>
      <x:c r="L26" s="58"/>
      <x:c r="M26" s="55" t="str">
        <x:f>IF(OR(H26="",J26=""),"",H26*J26)</x:f>
      </x:c>
      <x:c r="N26" s="44" t="str">
        <x:f>IF(B26="","",IF(H26=0,"Out of Stock",IF(H26&lt;=I26,"Low Stock","In Stock")))</x:f>
      </x:c>
    </x:row>
    <x:row r="27">
      <x:c r="A27" s="49"/>
      <x:c r="B27" s="43"/>
      <x:c r="C27" s="43"/>
      <x:c r="D27" s="43"/>
      <x:c r="E27" s="43"/>
      <x:c r="F27" s="43"/>
      <x:c r="G27" s="43"/>
      <x:c r="H27" s="52"/>
      <x:c r="I27" s="52"/>
      <x:c r="J27" s="55"/>
      <x:c r="K27" s="55"/>
      <x:c r="L27" s="58"/>
      <x:c r="M27" s="55" t="str">
        <x:f>IF(OR(H27="",J27=""),"",H27*J27)</x:f>
      </x:c>
      <x:c r="N27" s="44" t="str">
        <x:f>IF(B27="","",IF(H27=0,"Out of Stock",IF(H27&lt;=I27,"Low Stock","In Stock")))</x:f>
      </x:c>
    </x:row>
    <x:row r="28">
      <x:c r="A28" s="49"/>
      <x:c r="B28" s="43"/>
      <x:c r="C28" s="43"/>
      <x:c r="D28" s="43"/>
      <x:c r="E28" s="43"/>
      <x:c r="F28" s="43"/>
      <x:c r="G28" s="43"/>
      <x:c r="H28" s="52"/>
      <x:c r="I28" s="52"/>
      <x:c r="J28" s="55"/>
      <x:c r="K28" s="55"/>
      <x:c r="L28" s="58"/>
      <x:c r="M28" s="55" t="str">
        <x:f>IF(OR(H28="",J28=""),"",H28*J28)</x:f>
      </x:c>
      <x:c r="N28" s="44" t="str">
        <x:f>IF(B28="","",IF(H28=0,"Out of Stock",IF(H28&lt;=I28,"Low Stock","In Stock")))</x:f>
      </x:c>
    </x:row>
    <x:row r="29">
      <x:c r="A29" s="49"/>
      <x:c r="B29" s="43"/>
      <x:c r="C29" s="43"/>
      <x:c r="D29" s="43"/>
      <x:c r="E29" s="43"/>
      <x:c r="F29" s="43"/>
      <x:c r="G29" s="43"/>
      <x:c r="H29" s="52"/>
      <x:c r="I29" s="52"/>
      <x:c r="J29" s="55"/>
      <x:c r="K29" s="55"/>
      <x:c r="L29" s="58"/>
      <x:c r="M29" s="55" t="str">
        <x:f>IF(OR(H29="",J29=""),"",H29*J29)</x:f>
      </x:c>
      <x:c r="N29" s="44" t="str">
        <x:f>IF(B29="","",IF(H29=0,"Out of Stock",IF(H29&lt;=I29,"Low Stock","In Stock")))</x:f>
      </x:c>
    </x:row>
    <x:row r="30">
      <x:c r="A30" s="49"/>
      <x:c r="B30" s="43"/>
      <x:c r="C30" s="43"/>
      <x:c r="D30" s="43"/>
      <x:c r="E30" s="43"/>
      <x:c r="F30" s="43"/>
      <x:c r="G30" s="43"/>
      <x:c r="H30" s="52"/>
      <x:c r="I30" s="52"/>
      <x:c r="J30" s="55"/>
      <x:c r="K30" s="55"/>
      <x:c r="L30" s="58"/>
      <x:c r="M30" s="55" t="str">
        <x:f>IF(OR(H30="",J30=""),"",H30*J30)</x:f>
      </x:c>
      <x:c r="N30" s="44" t="str">
        <x:f>IF(B30="","",IF(H30=0,"Out of Stock",IF(H30&lt;=I30,"Low Stock","In Stock")))</x:f>
      </x:c>
    </x:row>
    <x:row r="31">
      <x:c r="A31" s="49"/>
      <x:c r="B31" s="43"/>
      <x:c r="C31" s="43"/>
      <x:c r="D31" s="43"/>
      <x:c r="E31" s="43"/>
      <x:c r="F31" s="43"/>
      <x:c r="G31" s="43"/>
      <x:c r="H31" s="52"/>
      <x:c r="I31" s="52"/>
      <x:c r="J31" s="55"/>
      <x:c r="K31" s="55"/>
      <x:c r="L31" s="58"/>
      <x:c r="M31" s="55" t="str">
        <x:f>IF(OR(H31="",J31=""),"",H31*J31)</x:f>
      </x:c>
      <x:c r="N31" s="44" t="str">
        <x:f>IF(B31="","",IF(H31=0,"Out of Stock",IF(H31&lt;=I31,"Low Stock","In Stock")))</x:f>
      </x:c>
    </x:row>
    <x:row r="32">
      <x:c r="A32" s="49"/>
      <x:c r="B32" s="43"/>
      <x:c r="C32" s="43"/>
      <x:c r="D32" s="43"/>
      <x:c r="E32" s="43"/>
      <x:c r="F32" s="43"/>
      <x:c r="G32" s="43"/>
      <x:c r="H32" s="52"/>
      <x:c r="I32" s="52"/>
      <x:c r="J32" s="55"/>
      <x:c r="K32" s="55"/>
      <x:c r="L32" s="58"/>
      <x:c r="M32" s="55" t="str">
        <x:f>IF(OR(H32="",J32=""),"",H32*J32)</x:f>
      </x:c>
      <x:c r="N32" s="44" t="str">
        <x:f>IF(B32="","",IF(H32=0,"Out of Stock",IF(H32&lt;=I32,"Low Stock","In Stock")))</x:f>
      </x:c>
    </x:row>
    <x:row r="33">
      <x:c r="A33" s="49"/>
      <x:c r="B33" s="43"/>
      <x:c r="C33" s="43"/>
      <x:c r="D33" s="43"/>
      <x:c r="E33" s="43"/>
      <x:c r="F33" s="43"/>
      <x:c r="G33" s="43"/>
      <x:c r="H33" s="52"/>
      <x:c r="I33" s="52"/>
      <x:c r="J33" s="55"/>
      <x:c r="K33" s="55"/>
      <x:c r="L33" s="58"/>
      <x:c r="M33" s="55" t="str">
        <x:f>IF(OR(H33="",J33=""),"",H33*J33)</x:f>
      </x:c>
      <x:c r="N33" s="44" t="str">
        <x:f>IF(B33="","",IF(H33=0,"Out of Stock",IF(H33&lt;=I33,"Low Stock","In Stock")))</x:f>
      </x:c>
    </x:row>
    <x:row r="34">
      <x:c r="A34" s="49"/>
      <x:c r="B34" s="43"/>
      <x:c r="C34" s="43"/>
      <x:c r="D34" s="43"/>
      <x:c r="E34" s="43"/>
      <x:c r="F34" s="43"/>
      <x:c r="G34" s="43"/>
      <x:c r="H34" s="52"/>
      <x:c r="I34" s="52"/>
      <x:c r="J34" s="55"/>
      <x:c r="K34" s="55"/>
      <x:c r="L34" s="58"/>
      <x:c r="M34" s="55" t="str">
        <x:f>IF(OR(H34="",J34=""),"",H34*J34)</x:f>
      </x:c>
      <x:c r="N34" s="44" t="str">
        <x:f>IF(B34="","",IF(H34=0,"Out of Stock",IF(H34&lt;=I34,"Low Stock","In Stock")))</x:f>
      </x:c>
    </x:row>
    <x:row r="35">
      <x:c r="A35" s="49"/>
      <x:c r="B35" s="43"/>
      <x:c r="C35" s="43"/>
      <x:c r="D35" s="43"/>
      <x:c r="E35" s="43"/>
      <x:c r="F35" s="43"/>
      <x:c r="G35" s="43"/>
      <x:c r="H35" s="52"/>
      <x:c r="I35" s="52"/>
      <x:c r="J35" s="55"/>
      <x:c r="K35" s="55"/>
      <x:c r="L35" s="58"/>
      <x:c r="M35" s="55" t="str">
        <x:f>IF(OR(H35="",J35=""),"",H35*J35)</x:f>
      </x:c>
      <x:c r="N35" s="44" t="str">
        <x:f>IF(B35="","",IF(H35=0,"Out of Stock",IF(H35&lt;=I35,"Low Stock","In Stock")))</x:f>
      </x:c>
    </x:row>
    <x:row r="36">
      <x:c r="A36" s="49"/>
      <x:c r="B36" s="43"/>
      <x:c r="C36" s="43"/>
      <x:c r="D36" s="43"/>
      <x:c r="E36" s="43"/>
      <x:c r="F36" s="43"/>
      <x:c r="G36" s="43"/>
      <x:c r="H36" s="52"/>
      <x:c r="I36" s="52"/>
      <x:c r="J36" s="55"/>
      <x:c r="K36" s="55"/>
      <x:c r="L36" s="58"/>
      <x:c r="M36" s="55" t="str">
        <x:f>IF(OR(H36="",J36=""),"",H36*J36)</x:f>
      </x:c>
      <x:c r="N36" s="44" t="str">
        <x:f>IF(B36="","",IF(H36=0,"Out of Stock",IF(H36&lt;=I36,"Low Stock","In Stock")))</x:f>
      </x:c>
    </x:row>
    <x:row r="37">
      <x:c r="A37" s="49"/>
      <x:c r="B37" s="43"/>
      <x:c r="C37" s="43"/>
      <x:c r="D37" s="43"/>
      <x:c r="E37" s="43"/>
      <x:c r="F37" s="43"/>
      <x:c r="G37" s="43"/>
      <x:c r="H37" s="52"/>
      <x:c r="I37" s="52"/>
      <x:c r="J37" s="55"/>
      <x:c r="K37" s="55"/>
      <x:c r="L37" s="58"/>
      <x:c r="M37" s="55" t="str">
        <x:f>IF(OR(H37="",J37=""),"",H37*J37)</x:f>
      </x:c>
      <x:c r="N37" s="44" t="str">
        <x:f>IF(B37="","",IF(H37=0,"Out of Stock",IF(H37&lt;=I37,"Low Stock","In Stock")))</x:f>
      </x:c>
    </x:row>
    <x:row r="38">
      <x:c r="A38" s="49"/>
      <x:c r="B38" s="43"/>
      <x:c r="C38" s="43"/>
      <x:c r="D38" s="43"/>
      <x:c r="E38" s="43"/>
      <x:c r="F38" s="43"/>
      <x:c r="G38" s="43"/>
      <x:c r="H38" s="52"/>
      <x:c r="I38" s="52"/>
      <x:c r="J38" s="55"/>
      <x:c r="K38" s="55"/>
      <x:c r="L38" s="58"/>
      <x:c r="M38" s="55" t="str">
        <x:f>IF(OR(H38="",J38=""),"",H38*J38)</x:f>
      </x:c>
      <x:c r="N38" s="44" t="str">
        <x:f>IF(B38="","",IF(H38=0,"Out of Stock",IF(H38&lt;=I38,"Low Stock","In Stock")))</x:f>
      </x:c>
    </x:row>
    <x:row r="39">
      <x:c r="A39" s="49"/>
      <x:c r="B39" s="43"/>
      <x:c r="C39" s="43"/>
      <x:c r="D39" s="43"/>
      <x:c r="E39" s="43"/>
      <x:c r="F39" s="43"/>
      <x:c r="G39" s="43"/>
      <x:c r="H39" s="52"/>
      <x:c r="I39" s="52"/>
      <x:c r="J39" s="55"/>
      <x:c r="K39" s="55"/>
      <x:c r="L39" s="58"/>
      <x:c r="M39" s="55" t="str">
        <x:f>IF(OR(H39="",J39=""),"",H39*J39)</x:f>
      </x:c>
      <x:c r="N39" s="44" t="str">
        <x:f>IF(B39="","",IF(H39=0,"Out of Stock",IF(H39&lt;=I39,"Low Stock","In Stock")))</x:f>
      </x:c>
    </x:row>
    <x:row r="40">
      <x:c r="A40" s="49"/>
      <x:c r="B40" s="43"/>
      <x:c r="C40" s="43"/>
      <x:c r="D40" s="43"/>
      <x:c r="E40" s="43"/>
      <x:c r="F40" s="43"/>
      <x:c r="G40" s="43"/>
      <x:c r="H40" s="52"/>
      <x:c r="I40" s="52"/>
      <x:c r="J40" s="55"/>
      <x:c r="K40" s="55"/>
      <x:c r="L40" s="58"/>
      <x:c r="M40" s="55" t="str">
        <x:f>IF(OR(H40="",J40=""),"",H40*J40)</x:f>
      </x:c>
      <x:c r="N40" s="44" t="str">
        <x:f>IF(B40="","",IF(H40=0,"Out of Stock",IF(H40&lt;=I40,"Low Stock","In Stock")))</x:f>
      </x:c>
    </x:row>
    <x:row r="41">
      <x:c r="A41" s="49"/>
      <x:c r="B41" s="43"/>
      <x:c r="C41" s="43"/>
      <x:c r="D41" s="43"/>
      <x:c r="E41" s="43"/>
      <x:c r="F41" s="43"/>
      <x:c r="G41" s="43"/>
      <x:c r="H41" s="52"/>
      <x:c r="I41" s="52"/>
      <x:c r="J41" s="55"/>
      <x:c r="K41" s="55"/>
      <x:c r="L41" s="58"/>
      <x:c r="M41" s="55" t="str">
        <x:f>IF(OR(H41="",J41=""),"",H41*J41)</x:f>
      </x:c>
      <x:c r="N41" s="44" t="str">
        <x:f>IF(B41="","",IF(H41=0,"Out of Stock",IF(H41&lt;=I41,"Low Stock","In Stock")))</x:f>
      </x:c>
    </x:row>
    <x:row r="42">
      <x:c r="A42" s="49"/>
      <x:c r="B42" s="43"/>
      <x:c r="C42" s="43"/>
      <x:c r="D42" s="43"/>
      <x:c r="E42" s="43"/>
      <x:c r="F42" s="43"/>
      <x:c r="G42" s="43"/>
      <x:c r="H42" s="52"/>
      <x:c r="I42" s="52"/>
      <x:c r="J42" s="55"/>
      <x:c r="K42" s="55"/>
      <x:c r="L42" s="58"/>
      <x:c r="M42" s="55" t="str">
        <x:f>IF(OR(H42="",J42=""),"",H42*J42)</x:f>
      </x:c>
      <x:c r="N42" s="44" t="str">
        <x:f>IF(B42="","",IF(H42=0,"Out of Stock",IF(H42&lt;=I42,"Low Stock","In Stock")))</x:f>
      </x:c>
    </x:row>
    <x:row r="43">
      <x:c r="A43" s="49"/>
      <x:c r="B43" s="43"/>
      <x:c r="C43" s="43"/>
      <x:c r="D43" s="43"/>
      <x:c r="E43" s="43"/>
      <x:c r="F43" s="43"/>
      <x:c r="G43" s="43"/>
      <x:c r="H43" s="52"/>
      <x:c r="I43" s="52"/>
      <x:c r="J43" s="55"/>
      <x:c r="K43" s="55"/>
      <x:c r="L43" s="58"/>
      <x:c r="M43" s="55" t="str">
        <x:f>IF(OR(H43="",J43=""),"",H43*J43)</x:f>
      </x:c>
      <x:c r="N43" s="44" t="str">
        <x:f>IF(B43="","",IF(H43=0,"Out of Stock",IF(H43&lt;=I43,"Low Stock","In Stock")))</x:f>
      </x:c>
    </x:row>
    <x:row r="44">
      <x:c r="A44" s="49"/>
      <x:c r="B44" s="43"/>
      <x:c r="C44" s="43"/>
      <x:c r="D44" s="43"/>
      <x:c r="E44" s="43"/>
      <x:c r="F44" s="43"/>
      <x:c r="G44" s="43"/>
      <x:c r="H44" s="52"/>
      <x:c r="I44" s="52"/>
      <x:c r="J44" s="55"/>
      <x:c r="K44" s="55"/>
      <x:c r="L44" s="58"/>
      <x:c r="M44" s="55" t="str">
        <x:f>IF(OR(H44="",J44=""),"",H44*J44)</x:f>
      </x:c>
      <x:c r="N44" s="44" t="str">
        <x:f>IF(B44="","",IF(H44=0,"Out of Stock",IF(H44&lt;=I44,"Low Stock","In Stock")))</x:f>
      </x:c>
    </x:row>
    <x:row r="45">
      <x:c r="A45" s="49"/>
      <x:c r="B45" s="43"/>
      <x:c r="C45" s="43"/>
      <x:c r="D45" s="43"/>
      <x:c r="E45" s="43"/>
      <x:c r="F45" s="43"/>
      <x:c r="G45" s="43"/>
      <x:c r="H45" s="52"/>
      <x:c r="I45" s="52"/>
      <x:c r="J45" s="55"/>
      <x:c r="K45" s="55"/>
      <x:c r="L45" s="58"/>
      <x:c r="M45" s="55" t="str">
        <x:f>IF(OR(H45="",J45=""),"",H45*J45)</x:f>
      </x:c>
      <x:c r="N45" s="44" t="str">
        <x:f>IF(B45="","",IF(H45=0,"Out of Stock",IF(H45&lt;=I45,"Low Stock","In Stock")))</x:f>
      </x:c>
    </x:row>
    <x:row r="46">
      <x:c r="A46" s="49"/>
      <x:c r="B46" s="43"/>
      <x:c r="C46" s="43"/>
      <x:c r="D46" s="43"/>
      <x:c r="E46" s="43"/>
      <x:c r="F46" s="43"/>
      <x:c r="G46" s="43"/>
      <x:c r="H46" s="52"/>
      <x:c r="I46" s="52"/>
      <x:c r="J46" s="55"/>
      <x:c r="K46" s="55"/>
      <x:c r="L46" s="58"/>
      <x:c r="M46" s="55" t="str">
        <x:f>IF(OR(H46="",J46=""),"",H46*J46)</x:f>
      </x:c>
      <x:c r="N46" s="44" t="str">
        <x:f>IF(B46="","",IF(H46=0,"Out of Stock",IF(H46&lt;=I46,"Low Stock","In Stock")))</x:f>
      </x:c>
    </x:row>
    <x:row r="47">
      <x:c r="A47" s="49"/>
      <x:c r="B47" s="43"/>
      <x:c r="C47" s="43"/>
      <x:c r="D47" s="43"/>
      <x:c r="E47" s="43"/>
      <x:c r="F47" s="43"/>
      <x:c r="G47" s="43"/>
      <x:c r="H47" s="52"/>
      <x:c r="I47" s="52"/>
      <x:c r="J47" s="55"/>
      <x:c r="K47" s="55"/>
      <x:c r="L47" s="58"/>
      <x:c r="M47" s="55" t="str">
        <x:f>IF(OR(H47="",J47=""),"",H47*J47)</x:f>
      </x:c>
      <x:c r="N47" s="44" t="str">
        <x:f>IF(B47="","",IF(H47=0,"Out of Stock",IF(H47&lt;=I47,"Low Stock","In Stock")))</x:f>
      </x:c>
    </x:row>
    <x:row r="48">
      <x:c r="A48" s="49"/>
      <x:c r="B48" s="43"/>
      <x:c r="C48" s="43"/>
      <x:c r="D48" s="43"/>
      <x:c r="E48" s="43"/>
      <x:c r="F48" s="43"/>
      <x:c r="G48" s="43"/>
      <x:c r="H48" s="52"/>
      <x:c r="I48" s="52"/>
      <x:c r="J48" s="55"/>
      <x:c r="K48" s="55"/>
      <x:c r="L48" s="58"/>
      <x:c r="M48" s="55" t="str">
        <x:f>IF(OR(H48="",J48=""),"",H48*J48)</x:f>
      </x:c>
      <x:c r="N48" s="44" t="str">
        <x:f>IF(B48="","",IF(H48=0,"Out of Stock",IF(H48&lt;=I48,"Low Stock","In Stock")))</x:f>
      </x:c>
    </x:row>
    <x:row r="49">
      <x:c r="A49" s="49"/>
      <x:c r="B49" s="43"/>
      <x:c r="C49" s="43"/>
      <x:c r="D49" s="43"/>
      <x:c r="E49" s="43"/>
      <x:c r="F49" s="43"/>
      <x:c r="G49" s="43"/>
      <x:c r="H49" s="52"/>
      <x:c r="I49" s="52"/>
      <x:c r="J49" s="55"/>
      <x:c r="K49" s="55"/>
      <x:c r="L49" s="58"/>
      <x:c r="M49" s="55" t="str">
        <x:f>IF(OR(H49="",J49=""),"",H49*J49)</x:f>
      </x:c>
      <x:c r="N49" s="44" t="str">
        <x:f>IF(B49="","",IF(H49=0,"Out of Stock",IF(H49&lt;=I49,"Low Stock","In Stock")))</x:f>
      </x:c>
    </x:row>
    <x:row r="50">
      <x:c r="A50" s="49"/>
      <x:c r="B50" s="43"/>
      <x:c r="C50" s="43"/>
      <x:c r="D50" s="43"/>
      <x:c r="E50" s="43"/>
      <x:c r="F50" s="43"/>
      <x:c r="G50" s="43"/>
      <x:c r="H50" s="52"/>
      <x:c r="I50" s="52"/>
      <x:c r="J50" s="55"/>
      <x:c r="K50" s="55"/>
      <x:c r="L50" s="58"/>
      <x:c r="M50" s="55" t="str">
        <x:f>IF(OR(H50="",J50=""),"",H50*J50)</x:f>
      </x:c>
      <x:c r="N50" s="44" t="str">
        <x:f>IF(B50="","",IF(H50=0,"Out of Stock",IF(H50&lt;=I50,"Low Stock","In Stock")))</x:f>
      </x:c>
    </x:row>
    <x:row r="51">
      <x:c r="A51" s="49"/>
      <x:c r="B51" s="43"/>
      <x:c r="C51" s="43"/>
      <x:c r="D51" s="43"/>
      <x:c r="E51" s="43"/>
      <x:c r="F51" s="43"/>
      <x:c r="G51" s="43"/>
      <x:c r="H51" s="52"/>
      <x:c r="I51" s="52"/>
      <x:c r="J51" s="55"/>
      <x:c r="K51" s="55"/>
      <x:c r="L51" s="58"/>
      <x:c r="M51" s="55" t="str">
        <x:f>IF(OR(H51="",J51=""),"",H51*J51)</x:f>
      </x:c>
      <x:c r="N51" s="44" t="str">
        <x:f>IF(B51="","",IF(H51=0,"Out of Stock",IF(H51&lt;=I51,"Low Stock","In Stock")))</x:f>
      </x:c>
    </x:row>
    <x:row r="52">
      <x:c r="A52" s="49"/>
      <x:c r="B52" s="43"/>
      <x:c r="C52" s="43"/>
      <x:c r="D52" s="43"/>
      <x:c r="E52" s="43"/>
      <x:c r="F52" s="43"/>
      <x:c r="G52" s="43"/>
      <x:c r="H52" s="52"/>
      <x:c r="I52" s="52"/>
      <x:c r="J52" s="55"/>
      <x:c r="K52" s="55"/>
      <x:c r="L52" s="58"/>
      <x:c r="M52" s="55" t="str">
        <x:f>IF(OR(H52="",J52=""),"",H52*J52)</x:f>
      </x:c>
      <x:c r="N52" s="44" t="str">
        <x:f>IF(B52="","",IF(H52=0,"Out of Stock",IF(H52&lt;=I52,"Low Stock","In Stock")))</x:f>
      </x:c>
    </x:row>
    <x:row r="53">
      <x:c r="A53" s="49"/>
      <x:c r="B53" s="43"/>
      <x:c r="C53" s="43"/>
      <x:c r="D53" s="43"/>
      <x:c r="E53" s="43"/>
      <x:c r="F53" s="43"/>
      <x:c r="G53" s="43"/>
      <x:c r="H53" s="52"/>
      <x:c r="I53" s="52"/>
      <x:c r="J53" s="55"/>
      <x:c r="K53" s="55"/>
      <x:c r="L53" s="58"/>
      <x:c r="M53" s="55" t="str">
        <x:f>IF(OR(H53="",J53=""),"",H53*J53)</x:f>
      </x:c>
      <x:c r="N53" s="44" t="str">
        <x:f>IF(B53="","",IF(H53=0,"Out of Stock",IF(H53&lt;=I53,"Low Stock","In Stock")))</x:f>
      </x:c>
    </x:row>
    <x:row r="54">
      <x:c r="A54" s="49"/>
      <x:c r="B54" s="43"/>
      <x:c r="C54" s="43"/>
      <x:c r="D54" s="43"/>
      <x:c r="E54" s="43"/>
      <x:c r="F54" s="43"/>
      <x:c r="G54" s="43"/>
      <x:c r="H54" s="52"/>
      <x:c r="I54" s="52"/>
      <x:c r="J54" s="55"/>
      <x:c r="K54" s="55"/>
      <x:c r="L54" s="58"/>
      <x:c r="M54" s="55" t="str">
        <x:f>IF(OR(H54="",J54=""),"",H54*J54)</x:f>
      </x:c>
      <x:c r="N54" s="44" t="str">
        <x:f>IF(B54="","",IF(H54=0,"Out of Stock",IF(H54&lt;=I54,"Low Stock","In Stock")))</x:f>
      </x:c>
    </x:row>
    <x:row r="55">
      <x:c r="A55" s="49"/>
      <x:c r="B55" s="43"/>
      <x:c r="C55" s="43"/>
      <x:c r="D55" s="43"/>
      <x:c r="E55" s="43"/>
      <x:c r="F55" s="43"/>
      <x:c r="G55" s="43"/>
      <x:c r="H55" s="52"/>
      <x:c r="I55" s="52"/>
      <x:c r="J55" s="55"/>
      <x:c r="K55" s="55"/>
      <x:c r="L55" s="58"/>
      <x:c r="M55" s="55" t="str">
        <x:f>IF(OR(H55="",J55=""),"",H55*J55)</x:f>
      </x:c>
      <x:c r="N55" s="44" t="str">
        <x:f>IF(B55="","",IF(H55=0,"Out of Stock",IF(H55&lt;=I55,"Low Stock","In Stock")))</x:f>
      </x:c>
    </x:row>
    <x:row r="56">
      <x:c r="A56" s="49"/>
      <x:c r="B56" s="43"/>
      <x:c r="C56" s="43"/>
      <x:c r="D56" s="43"/>
      <x:c r="E56" s="43"/>
      <x:c r="F56" s="43"/>
      <x:c r="G56" s="43"/>
      <x:c r="H56" s="52"/>
      <x:c r="I56" s="52"/>
      <x:c r="J56" s="55"/>
      <x:c r="K56" s="55"/>
      <x:c r="L56" s="58"/>
      <x:c r="M56" s="55" t="str">
        <x:f>IF(OR(H56="",J56=""),"",H56*J56)</x:f>
      </x:c>
      <x:c r="N56" s="44" t="str">
        <x:f>IF(B56="","",IF(H56=0,"Out of Stock",IF(H56&lt;=I56,"Low Stock","In Stock")))</x:f>
      </x:c>
    </x:row>
    <x:row r="57">
      <x:c r="A57" s="49"/>
      <x:c r="B57" s="43"/>
      <x:c r="C57" s="43"/>
      <x:c r="D57" s="43"/>
      <x:c r="E57" s="43"/>
      <x:c r="F57" s="43"/>
      <x:c r="G57" s="43"/>
      <x:c r="H57" s="52"/>
      <x:c r="I57" s="52"/>
      <x:c r="J57" s="55"/>
      <x:c r="K57" s="55"/>
      <x:c r="L57" s="58"/>
      <x:c r="M57" s="55" t="str">
        <x:f>IF(OR(H57="",J57=""),"",H57*J57)</x:f>
      </x:c>
      <x:c r="N57" s="44" t="str">
        <x:f>IF(B57="","",IF(H57=0,"Out of Stock",IF(H57&lt;=I57,"Low Stock","In Stock")))</x:f>
      </x:c>
    </x:row>
    <x:row r="58">
      <x:c r="A58" s="49"/>
      <x:c r="B58" s="43"/>
      <x:c r="C58" s="43"/>
      <x:c r="D58" s="43"/>
      <x:c r="E58" s="43"/>
      <x:c r="F58" s="43"/>
      <x:c r="G58" s="43"/>
      <x:c r="H58" s="52"/>
      <x:c r="I58" s="52"/>
      <x:c r="J58" s="55"/>
      <x:c r="K58" s="55"/>
      <x:c r="L58" s="58"/>
      <x:c r="M58" s="55" t="str">
        <x:f>IF(OR(H58="",J58=""),"",H58*J58)</x:f>
      </x:c>
      <x:c r="N58" s="44" t="str">
        <x:f>IF(B58="","",IF(H58=0,"Out of Stock",IF(H58&lt;=I58,"Low Stock","In Stock")))</x:f>
      </x:c>
    </x:row>
    <x:row r="59">
      <x:c r="A59" s="49"/>
      <x:c r="B59" s="43"/>
      <x:c r="C59" s="43"/>
      <x:c r="D59" s="43"/>
      <x:c r="E59" s="43"/>
      <x:c r="F59" s="43"/>
      <x:c r="G59" s="43"/>
      <x:c r="H59" s="52"/>
      <x:c r="I59" s="52"/>
      <x:c r="J59" s="55"/>
      <x:c r="K59" s="55"/>
      <x:c r="L59" s="58"/>
      <x:c r="M59" s="55" t="str">
        <x:f>IF(OR(H59="",J59=""),"",H59*J59)</x:f>
      </x:c>
      <x:c r="N59" s="44" t="str">
        <x:f>IF(B59="","",IF(H59=0,"Out of Stock",IF(H59&lt;=I59,"Low Stock","In Stock")))</x:f>
      </x:c>
    </x:row>
    <x:row r="60">
      <x:c r="A60" s="49"/>
      <x:c r="B60" s="43"/>
      <x:c r="C60" s="43"/>
      <x:c r="D60" s="43"/>
      <x:c r="E60" s="43"/>
      <x:c r="F60" s="43"/>
      <x:c r="G60" s="43"/>
      <x:c r="H60" s="52"/>
      <x:c r="I60" s="52"/>
      <x:c r="J60" s="55"/>
      <x:c r="K60" s="55"/>
      <x:c r="L60" s="58"/>
      <x:c r="M60" s="55" t="str">
        <x:f>IF(OR(H60="",J60=""),"",H60*J60)</x:f>
      </x:c>
      <x:c r="N60" s="44" t="str">
        <x:f>IF(B60="","",IF(H60=0,"Out of Stock",IF(H60&lt;=I60,"Low Stock","In Stock")))</x:f>
      </x:c>
    </x:row>
    <x:row r="61">
      <x:c r="A61" s="49"/>
      <x:c r="B61" s="43"/>
      <x:c r="C61" s="43"/>
      <x:c r="D61" s="43"/>
      <x:c r="E61" s="43"/>
      <x:c r="F61" s="43"/>
      <x:c r="G61" s="43"/>
      <x:c r="H61" s="52"/>
      <x:c r="I61" s="52"/>
      <x:c r="J61" s="55"/>
      <x:c r="K61" s="55"/>
      <x:c r="L61" s="58"/>
      <x:c r="M61" s="55" t="str">
        <x:f>IF(OR(H61="",J61=""),"",H61*J61)</x:f>
      </x:c>
      <x:c r="N61" s="44" t="str">
        <x:f>IF(B61="","",IF(H61=0,"Out of Stock",IF(H61&lt;=I61,"Low Stock","In Stock")))</x:f>
      </x:c>
    </x:row>
    <x:row r="62">
      <x:c r="A62" s="49"/>
      <x:c r="B62" s="43"/>
      <x:c r="C62" s="43"/>
      <x:c r="D62" s="43"/>
      <x:c r="E62" s="43"/>
      <x:c r="F62" s="43"/>
      <x:c r="G62" s="43"/>
      <x:c r="H62" s="52"/>
      <x:c r="I62" s="52"/>
      <x:c r="J62" s="55"/>
      <x:c r="K62" s="55"/>
      <x:c r="L62" s="58"/>
      <x:c r="M62" s="55" t="str">
        <x:f>IF(OR(H62="",J62=""),"",H62*J62)</x:f>
      </x:c>
      <x:c r="N62" s="44" t="str">
        <x:f>IF(B62="","",IF(H62=0,"Out of Stock",IF(H62&lt;=I62,"Low Stock","In Stock")))</x:f>
      </x:c>
    </x:row>
    <x:row r="63">
      <x:c r="A63" s="49"/>
      <x:c r="B63" s="43"/>
      <x:c r="C63" s="43"/>
      <x:c r="D63" s="43"/>
      <x:c r="E63" s="43"/>
      <x:c r="F63" s="43"/>
      <x:c r="G63" s="43"/>
      <x:c r="H63" s="52"/>
      <x:c r="I63" s="52"/>
      <x:c r="J63" s="55"/>
      <x:c r="K63" s="55"/>
      <x:c r="L63" s="58"/>
      <x:c r="M63" s="55" t="str">
        <x:f>IF(OR(H63="",J63=""),"",H63*J63)</x:f>
      </x:c>
      <x:c r="N63" s="44" t="str">
        <x:f>IF(B63="","",IF(H63=0,"Out of Stock",IF(H63&lt;=I63,"Low Stock","In Stock")))</x:f>
      </x:c>
    </x:row>
    <x:row r="64">
      <x:c r="A64" s="49"/>
      <x:c r="B64" s="43"/>
      <x:c r="C64" s="43"/>
      <x:c r="D64" s="43"/>
      <x:c r="E64" s="43"/>
      <x:c r="F64" s="43"/>
      <x:c r="G64" s="43"/>
      <x:c r="H64" s="52"/>
      <x:c r="I64" s="52"/>
      <x:c r="J64" s="55"/>
      <x:c r="K64" s="55"/>
      <x:c r="L64" s="58"/>
      <x:c r="M64" s="55" t="str">
        <x:f>IF(OR(H64="",J64=""),"",H64*J64)</x:f>
      </x:c>
      <x:c r="N64" s="44" t="str">
        <x:f>IF(B64="","",IF(H64=0,"Out of Stock",IF(H64&lt;=I64,"Low Stock","In Stock")))</x:f>
      </x:c>
    </x:row>
    <x:row r="65">
      <x:c r="A65" s="49"/>
      <x:c r="B65" s="43"/>
      <x:c r="C65" s="43"/>
      <x:c r="D65" s="43"/>
      <x:c r="E65" s="43"/>
      <x:c r="F65" s="43"/>
      <x:c r="G65" s="43"/>
      <x:c r="H65" s="52"/>
      <x:c r="I65" s="52"/>
      <x:c r="J65" s="55"/>
      <x:c r="K65" s="55"/>
      <x:c r="L65" s="58"/>
      <x:c r="M65" s="55" t="str">
        <x:f>IF(OR(H65="",J65=""),"",H65*J65)</x:f>
      </x:c>
      <x:c r="N65" s="44" t="str">
        <x:f>IF(B65="","",IF(H65=0,"Out of Stock",IF(H65&lt;=I65,"Low Stock","In Stock")))</x:f>
      </x:c>
    </x:row>
    <x:row r="66">
      <x:c r="A66" s="49"/>
      <x:c r="B66" s="43"/>
      <x:c r="C66" s="43"/>
      <x:c r="D66" s="43"/>
      <x:c r="E66" s="43"/>
      <x:c r="F66" s="43"/>
      <x:c r="G66" s="43"/>
      <x:c r="H66" s="52"/>
      <x:c r="I66" s="52"/>
      <x:c r="J66" s="55"/>
      <x:c r="K66" s="55"/>
      <x:c r="L66" s="58"/>
      <x:c r="M66" s="55" t="str">
        <x:f>IF(OR(H66="",J66=""),"",H66*J66)</x:f>
      </x:c>
      <x:c r="N66" s="44" t="str">
        <x:f>IF(B66="","",IF(H66=0,"Out of Stock",IF(H66&lt;=I66,"Low Stock","In Stock")))</x:f>
      </x:c>
    </x:row>
    <x:row r="67">
      <x:c r="A67" s="49"/>
      <x:c r="B67" s="43"/>
      <x:c r="C67" s="43"/>
      <x:c r="D67" s="43"/>
      <x:c r="E67" s="43"/>
      <x:c r="F67" s="43"/>
      <x:c r="G67" s="43"/>
      <x:c r="H67" s="52"/>
      <x:c r="I67" s="52"/>
      <x:c r="J67" s="55"/>
      <x:c r="K67" s="55"/>
      <x:c r="L67" s="58"/>
      <x:c r="M67" s="55" t="str">
        <x:f>IF(OR(H67="",J67=""),"",H67*J67)</x:f>
      </x:c>
      <x:c r="N67" s="44" t="str">
        <x:f>IF(B67="","",IF(H67=0,"Out of Stock",IF(H67&lt;=I67,"Low Stock","In Stock")))</x:f>
      </x:c>
    </x:row>
    <x:row r="68">
      <x:c r="A68" s="49"/>
      <x:c r="B68" s="43"/>
      <x:c r="C68" s="43"/>
      <x:c r="D68" s="43"/>
      <x:c r="E68" s="43"/>
      <x:c r="F68" s="43"/>
      <x:c r="G68" s="43"/>
      <x:c r="H68" s="52"/>
      <x:c r="I68" s="52"/>
      <x:c r="J68" s="55"/>
      <x:c r="K68" s="55"/>
      <x:c r="L68" s="58"/>
      <x:c r="M68" s="55" t="str">
        <x:f>IF(OR(H68="",J68=""),"",H68*J68)</x:f>
      </x:c>
      <x:c r="N68" s="44" t="str">
        <x:f>IF(B68="","",IF(H68=0,"Out of Stock",IF(H68&lt;=I68,"Low Stock","In Stock")))</x:f>
      </x:c>
    </x:row>
    <x:row r="69">
      <x:c r="A69" s="49"/>
      <x:c r="B69" s="43"/>
      <x:c r="C69" s="43"/>
      <x:c r="D69" s="43"/>
      <x:c r="E69" s="43"/>
      <x:c r="F69" s="43"/>
      <x:c r="G69" s="43"/>
      <x:c r="H69" s="52"/>
      <x:c r="I69" s="52"/>
      <x:c r="J69" s="55"/>
      <x:c r="K69" s="55"/>
      <x:c r="L69" s="58"/>
      <x:c r="M69" s="55" t="str">
        <x:f>IF(OR(H69="",J69=""),"",H69*J69)</x:f>
      </x:c>
      <x:c r="N69" s="44" t="str">
        <x:f>IF(B69="","",IF(H69=0,"Out of Stock",IF(H69&lt;=I69,"Low Stock","In Stock")))</x:f>
      </x:c>
    </x:row>
    <x:row r="70">
      <x:c r="A70" s="49"/>
      <x:c r="B70" s="43"/>
      <x:c r="C70" s="43"/>
      <x:c r="D70" s="43"/>
      <x:c r="E70" s="43"/>
      <x:c r="F70" s="43"/>
      <x:c r="G70" s="43"/>
      <x:c r="H70" s="52"/>
      <x:c r="I70" s="52"/>
      <x:c r="J70" s="55"/>
      <x:c r="K70" s="55"/>
      <x:c r="L70" s="58"/>
      <x:c r="M70" s="55" t="str">
        <x:f>IF(OR(H70="",J70=""),"",H70*J70)</x:f>
      </x:c>
      <x:c r="N70" s="44" t="str">
        <x:f>IF(B70="","",IF(H70=0,"Out of Stock",IF(H70&lt;=I70,"Low Stock","In Stock")))</x:f>
      </x:c>
    </x:row>
    <x:row r="71">
      <x:c r="A71" s="49"/>
      <x:c r="B71" s="43"/>
      <x:c r="C71" s="43"/>
      <x:c r="D71" s="43"/>
      <x:c r="E71" s="43"/>
      <x:c r="F71" s="43"/>
      <x:c r="G71" s="43"/>
      <x:c r="H71" s="52"/>
      <x:c r="I71" s="52"/>
      <x:c r="J71" s="55"/>
      <x:c r="K71" s="55"/>
      <x:c r="L71" s="58"/>
      <x:c r="M71" s="55" t="str">
        <x:f>IF(OR(H71="",J71=""),"",H71*J71)</x:f>
      </x:c>
      <x:c r="N71" s="44" t="str">
        <x:f>IF(B71="","",IF(H71=0,"Out of Stock",IF(H71&lt;=I71,"Low Stock","In Stock")))</x:f>
      </x:c>
    </x:row>
    <x:row r="72">
      <x:c r="A72" s="49"/>
      <x:c r="B72" s="43"/>
      <x:c r="C72" s="43"/>
      <x:c r="D72" s="43"/>
      <x:c r="E72" s="43"/>
      <x:c r="F72" s="43"/>
      <x:c r="G72" s="43"/>
      <x:c r="H72" s="52"/>
      <x:c r="I72" s="52"/>
      <x:c r="J72" s="55"/>
      <x:c r="K72" s="55"/>
      <x:c r="L72" s="58"/>
      <x:c r="M72" s="55" t="str">
        <x:f>IF(OR(H72="",J72=""),"",H72*J72)</x:f>
      </x:c>
      <x:c r="N72" s="44" t="str">
        <x:f>IF(B72="","",IF(H72=0,"Out of Stock",IF(H72&lt;=I72,"Low Stock","In Stock")))</x:f>
      </x:c>
    </x:row>
    <x:row r="73">
      <x:c r="A73" s="49"/>
      <x:c r="B73" s="43"/>
      <x:c r="C73" s="43"/>
      <x:c r="D73" s="43"/>
      <x:c r="E73" s="43"/>
      <x:c r="F73" s="43"/>
      <x:c r="G73" s="43"/>
      <x:c r="H73" s="52"/>
      <x:c r="I73" s="52"/>
      <x:c r="J73" s="55"/>
      <x:c r="K73" s="55"/>
      <x:c r="L73" s="58"/>
      <x:c r="M73" s="55" t="str">
        <x:f>IF(OR(H73="",J73=""),"",H73*J73)</x:f>
      </x:c>
      <x:c r="N73" s="44" t="str">
        <x:f>IF(B73="","",IF(H73=0,"Out of Stock",IF(H73&lt;=I73,"Low Stock","In Stock")))</x:f>
      </x:c>
    </x:row>
    <x:row r="74">
      <x:c r="A74" s="49"/>
      <x:c r="B74" s="43"/>
      <x:c r="C74" s="43"/>
      <x:c r="D74" s="43"/>
      <x:c r="E74" s="43"/>
      <x:c r="F74" s="43"/>
      <x:c r="G74" s="43"/>
      <x:c r="H74" s="52"/>
      <x:c r="I74" s="52"/>
      <x:c r="J74" s="55"/>
      <x:c r="K74" s="55"/>
      <x:c r="L74" s="58"/>
      <x:c r="M74" s="55" t="str">
        <x:f>IF(OR(H74="",J74=""),"",H74*J74)</x:f>
      </x:c>
      <x:c r="N74" s="44" t="str">
        <x:f>IF(B74="","",IF(H74=0,"Out of Stock",IF(H74&lt;=I74,"Low Stock","In Stock")))</x:f>
      </x:c>
    </x:row>
    <x:row r="75">
      <x:c r="A75" s="49"/>
      <x:c r="B75" s="43"/>
      <x:c r="C75" s="43"/>
      <x:c r="D75" s="43"/>
      <x:c r="E75" s="43"/>
      <x:c r="F75" s="43"/>
      <x:c r="G75" s="43"/>
      <x:c r="H75" s="52"/>
      <x:c r="I75" s="52"/>
      <x:c r="J75" s="55"/>
      <x:c r="K75" s="55"/>
      <x:c r="L75" s="58"/>
      <x:c r="M75" s="55" t="str">
        <x:f>IF(OR(H75="",J75=""),"",H75*J75)</x:f>
      </x:c>
      <x:c r="N75" s="44" t="str">
        <x:f>IF(B75="","",IF(H75=0,"Out of Stock",IF(H75&lt;=I75,"Low Stock","In Stock")))</x:f>
      </x:c>
    </x:row>
    <x:row r="76">
      <x:c r="A76" s="49"/>
      <x:c r="B76" s="43"/>
      <x:c r="C76" s="43"/>
      <x:c r="D76" s="43"/>
      <x:c r="E76" s="43"/>
      <x:c r="F76" s="43"/>
      <x:c r="G76" s="43"/>
      <x:c r="H76" s="52"/>
      <x:c r="I76" s="52"/>
      <x:c r="J76" s="55"/>
      <x:c r="K76" s="55"/>
      <x:c r="L76" s="58"/>
      <x:c r="M76" s="55" t="str">
        <x:f>IF(OR(H76="",J76=""),"",H76*J76)</x:f>
      </x:c>
      <x:c r="N76" s="44" t="str">
        <x:f>IF(B76="","",IF(H76=0,"Out of Stock",IF(H76&lt;=I76,"Low Stock","In Stock")))</x:f>
      </x:c>
    </x:row>
    <x:row r="77">
      <x:c r="A77" s="49"/>
      <x:c r="B77" s="43"/>
      <x:c r="C77" s="43"/>
      <x:c r="D77" s="43"/>
      <x:c r="E77" s="43"/>
      <x:c r="F77" s="43"/>
      <x:c r="G77" s="43"/>
      <x:c r="H77" s="52"/>
      <x:c r="I77" s="52"/>
      <x:c r="J77" s="55"/>
      <x:c r="K77" s="55"/>
      <x:c r="L77" s="58"/>
      <x:c r="M77" s="55" t="str">
        <x:f>IF(OR(H77="",J77=""),"",H77*J77)</x:f>
      </x:c>
      <x:c r="N77" s="44" t="str">
        <x:f>IF(B77="","",IF(H77=0,"Out of Stock",IF(H77&lt;=I77,"Low Stock","In Stock")))</x:f>
      </x:c>
    </x:row>
    <x:row r="78">
      <x:c r="A78" s="49"/>
      <x:c r="B78" s="43"/>
      <x:c r="C78" s="43"/>
      <x:c r="D78" s="43"/>
      <x:c r="E78" s="43"/>
      <x:c r="F78" s="43"/>
      <x:c r="G78" s="43"/>
      <x:c r="H78" s="52"/>
      <x:c r="I78" s="52"/>
      <x:c r="J78" s="55"/>
      <x:c r="K78" s="55"/>
      <x:c r="L78" s="58"/>
      <x:c r="M78" s="55" t="str">
        <x:f>IF(OR(H78="",J78=""),"",H78*J78)</x:f>
      </x:c>
      <x:c r="N78" s="44" t="str">
        <x:f>IF(B78="","",IF(H78=0,"Out of Stock",IF(H78&lt;=I78,"Low Stock","In Stock")))</x:f>
      </x:c>
    </x:row>
    <x:row r="79">
      <x:c r="A79" s="49"/>
      <x:c r="B79" s="43"/>
      <x:c r="C79" s="43"/>
      <x:c r="D79" s="43"/>
      <x:c r="E79" s="43"/>
      <x:c r="F79" s="43"/>
      <x:c r="G79" s="43"/>
      <x:c r="H79" s="52"/>
      <x:c r="I79" s="52"/>
      <x:c r="J79" s="55"/>
      <x:c r="K79" s="55"/>
      <x:c r="L79" s="58"/>
      <x:c r="M79" s="55" t="str">
        <x:f>IF(OR(H79="",J79=""),"",H79*J79)</x:f>
      </x:c>
      <x:c r="N79" s="44" t="str">
        <x:f>IF(B79="","",IF(H79=0,"Out of Stock",IF(H79&lt;=I79,"Low Stock","In Stock")))</x:f>
      </x:c>
    </x:row>
    <x:row r="80">
      <x:c r="A80" s="49"/>
      <x:c r="B80" s="43"/>
      <x:c r="C80" s="43"/>
      <x:c r="D80" s="43"/>
      <x:c r="E80" s="43"/>
      <x:c r="F80" s="43"/>
      <x:c r="G80" s="43"/>
      <x:c r="H80" s="52"/>
      <x:c r="I80" s="52"/>
      <x:c r="J80" s="55"/>
      <x:c r="K80" s="55"/>
      <x:c r="L80" s="58"/>
      <x:c r="M80" s="55" t="str">
        <x:f>IF(OR(H80="",J80=""),"",H80*J80)</x:f>
      </x:c>
      <x:c r="N80" s="44" t="str">
        <x:f>IF(B80="","",IF(H80=0,"Out of Stock",IF(H80&lt;=I80,"Low Stock","In Stock")))</x:f>
      </x:c>
    </x:row>
    <x:row r="81">
      <x:c r="A81" s="49"/>
      <x:c r="B81" s="43"/>
      <x:c r="C81" s="43"/>
      <x:c r="D81" s="43"/>
      <x:c r="E81" s="43"/>
      <x:c r="F81" s="43"/>
      <x:c r="G81" s="43"/>
      <x:c r="H81" s="52"/>
      <x:c r="I81" s="52"/>
      <x:c r="J81" s="55"/>
      <x:c r="K81" s="55"/>
      <x:c r="L81" s="58"/>
      <x:c r="M81" s="55" t="str">
        <x:f>IF(OR(H81="",J81=""),"",H81*J81)</x:f>
      </x:c>
      <x:c r="N81" s="44" t="str">
        <x:f>IF(B81="","",IF(H81=0,"Out of Stock",IF(H81&lt;=I81,"Low Stock","In Stock")))</x:f>
      </x:c>
    </x:row>
    <x:row r="82">
      <x:c r="A82" s="49"/>
      <x:c r="B82" s="43"/>
      <x:c r="C82" s="43"/>
      <x:c r="D82" s="43"/>
      <x:c r="E82" s="43"/>
      <x:c r="F82" s="43"/>
      <x:c r="G82" s="43"/>
      <x:c r="H82" s="52"/>
      <x:c r="I82" s="52"/>
      <x:c r="J82" s="55"/>
      <x:c r="K82" s="55"/>
      <x:c r="L82" s="58"/>
      <x:c r="M82" s="55" t="str">
        <x:f>IF(OR(H82="",J82=""),"",H82*J82)</x:f>
      </x:c>
      <x:c r="N82" s="44" t="str">
        <x:f>IF(B82="","",IF(H82=0,"Out of Stock",IF(H82&lt;=I82,"Low Stock","In Stock")))</x:f>
      </x:c>
    </x:row>
    <x:row r="83">
      <x:c r="A83" s="49"/>
      <x:c r="B83" s="43"/>
      <x:c r="C83" s="43"/>
      <x:c r="D83" s="43"/>
      <x:c r="E83" s="43"/>
      <x:c r="F83" s="43"/>
      <x:c r="G83" s="43"/>
      <x:c r="H83" s="52"/>
      <x:c r="I83" s="52"/>
      <x:c r="J83" s="55"/>
      <x:c r="K83" s="55"/>
      <x:c r="L83" s="58"/>
      <x:c r="M83" s="55" t="str">
        <x:f>IF(OR(H83="",J83=""),"",H83*J83)</x:f>
      </x:c>
      <x:c r="N83" s="44" t="str">
        <x:f>IF(B83="","",IF(H83=0,"Out of Stock",IF(H83&lt;=I83,"Low Stock","In Stock")))</x:f>
      </x:c>
    </x:row>
    <x:row r="84">
      <x:c r="A84" s="49"/>
      <x:c r="B84" s="43"/>
      <x:c r="C84" s="43"/>
      <x:c r="D84" s="43"/>
      <x:c r="E84" s="43"/>
      <x:c r="F84" s="43"/>
      <x:c r="G84" s="43"/>
      <x:c r="H84" s="52"/>
      <x:c r="I84" s="52"/>
      <x:c r="J84" s="55"/>
      <x:c r="K84" s="55"/>
      <x:c r="L84" s="58"/>
      <x:c r="M84" s="55" t="str">
        <x:f>IF(OR(H84="",J84=""),"",H84*J84)</x:f>
      </x:c>
      <x:c r="N84" s="44" t="str">
        <x:f>IF(B84="","",IF(H84=0,"Out of Stock",IF(H84&lt;=I84,"Low Stock","In Stock")))</x:f>
      </x:c>
    </x:row>
    <x:row r="85">
      <x:c r="A85" s="49"/>
      <x:c r="B85" s="43"/>
      <x:c r="C85" s="43"/>
      <x:c r="D85" s="43"/>
      <x:c r="E85" s="43"/>
      <x:c r="F85" s="43"/>
      <x:c r="G85" s="43"/>
      <x:c r="H85" s="52"/>
      <x:c r="I85" s="52"/>
      <x:c r="J85" s="55"/>
      <x:c r="K85" s="55"/>
      <x:c r="L85" s="58"/>
      <x:c r="M85" s="55" t="str">
        <x:f>IF(OR(H85="",J85=""),"",H85*J85)</x:f>
      </x:c>
      <x:c r="N85" s="44" t="str">
        <x:f>IF(B85="","",IF(H85=0,"Out of Stock",IF(H85&lt;=I85,"Low Stock","In Stock")))</x:f>
      </x:c>
    </x:row>
    <x:row r="86">
      <x:c r="A86" s="49"/>
      <x:c r="B86" s="43"/>
      <x:c r="C86" s="43"/>
      <x:c r="D86" s="43"/>
      <x:c r="E86" s="43"/>
      <x:c r="F86" s="43"/>
      <x:c r="G86" s="43"/>
      <x:c r="H86" s="52"/>
      <x:c r="I86" s="52"/>
      <x:c r="J86" s="55"/>
      <x:c r="K86" s="55"/>
      <x:c r="L86" s="58"/>
      <x:c r="M86" s="55" t="str">
        <x:f>IF(OR(H86="",J86=""),"",H86*J86)</x:f>
      </x:c>
      <x:c r="N86" s="44" t="str">
        <x:f>IF(B86="","",IF(H86=0,"Out of Stock",IF(H86&lt;=I86,"Low Stock","In Stock")))</x:f>
      </x:c>
    </x:row>
    <x:row r="87">
      <x:c r="A87" s="49"/>
      <x:c r="B87" s="43"/>
      <x:c r="C87" s="43"/>
      <x:c r="D87" s="43"/>
      <x:c r="E87" s="43"/>
      <x:c r="F87" s="43"/>
      <x:c r="G87" s="43"/>
      <x:c r="H87" s="52"/>
      <x:c r="I87" s="52"/>
      <x:c r="J87" s="55"/>
      <x:c r="K87" s="55"/>
      <x:c r="L87" s="58"/>
      <x:c r="M87" s="55" t="str">
        <x:f>IF(OR(H87="",J87=""),"",H87*J87)</x:f>
      </x:c>
      <x:c r="N87" s="44" t="str">
        <x:f>IF(B87="","",IF(H87=0,"Out of Stock",IF(H87&lt;=I87,"Low Stock","In Stock")))</x:f>
      </x:c>
    </x:row>
    <x:row r="88">
      <x:c r="A88" s="49"/>
      <x:c r="B88" s="43"/>
      <x:c r="C88" s="43"/>
      <x:c r="D88" s="43"/>
      <x:c r="E88" s="43"/>
      <x:c r="F88" s="43"/>
      <x:c r="G88" s="43"/>
      <x:c r="H88" s="52"/>
      <x:c r="I88" s="52"/>
      <x:c r="J88" s="55"/>
      <x:c r="K88" s="55"/>
      <x:c r="L88" s="58"/>
      <x:c r="M88" s="55" t="str">
        <x:f>IF(OR(H88="",J88=""),"",H88*J88)</x:f>
      </x:c>
      <x:c r="N88" s="44" t="str">
        <x:f>IF(B88="","",IF(H88=0,"Out of Stock",IF(H88&lt;=I88,"Low Stock","In Stock")))</x:f>
      </x:c>
    </x:row>
    <x:row r="89">
      <x:c r="A89" s="49"/>
      <x:c r="B89" s="43"/>
      <x:c r="C89" s="43"/>
      <x:c r="D89" s="43"/>
      <x:c r="E89" s="43"/>
      <x:c r="F89" s="43"/>
      <x:c r="G89" s="43"/>
      <x:c r="H89" s="52"/>
      <x:c r="I89" s="52"/>
      <x:c r="J89" s="55"/>
      <x:c r="K89" s="55"/>
      <x:c r="L89" s="58"/>
      <x:c r="M89" s="55" t="str">
        <x:f>IF(OR(H89="",J89=""),"",H89*J89)</x:f>
      </x:c>
      <x:c r="N89" s="44" t="str">
        <x:f>IF(B89="","",IF(H89=0,"Out of Stock",IF(H89&lt;=I89,"Low Stock","In Stock")))</x:f>
      </x:c>
    </x:row>
    <x:row r="90">
      <x:c r="A90" s="49"/>
      <x:c r="B90" s="43"/>
      <x:c r="C90" s="43"/>
      <x:c r="D90" s="43"/>
      <x:c r="E90" s="43"/>
      <x:c r="F90" s="43"/>
      <x:c r="G90" s="43"/>
      <x:c r="H90" s="52"/>
      <x:c r="I90" s="52"/>
      <x:c r="J90" s="55"/>
      <x:c r="K90" s="55"/>
      <x:c r="L90" s="58"/>
      <x:c r="M90" s="55" t="str">
        <x:f>IF(OR(H90="",J90=""),"",H90*J90)</x:f>
      </x:c>
      <x:c r="N90" s="44" t="str">
        <x:f>IF(B90="","",IF(H90=0,"Out of Stock",IF(H90&lt;=I90,"Low Stock","In Stock")))</x:f>
      </x:c>
    </x:row>
    <x:row r="91">
      <x:c r="A91" s="49"/>
      <x:c r="B91" s="43"/>
      <x:c r="C91" s="43"/>
      <x:c r="D91" s="43"/>
      <x:c r="E91" s="43"/>
      <x:c r="F91" s="43"/>
      <x:c r="G91" s="43"/>
      <x:c r="H91" s="52"/>
      <x:c r="I91" s="52"/>
      <x:c r="J91" s="55"/>
      <x:c r="K91" s="55"/>
      <x:c r="L91" s="58"/>
      <x:c r="M91" s="55" t="str">
        <x:f>IF(OR(H91="",J91=""),"",H91*J91)</x:f>
      </x:c>
      <x:c r="N91" s="44" t="str">
        <x:f>IF(B91="","",IF(H91=0,"Out of Stock",IF(H91&lt;=I91,"Low Stock","In Stock")))</x:f>
      </x:c>
    </x:row>
    <x:row r="92">
      <x:c r="A92" s="49"/>
      <x:c r="B92" s="43"/>
      <x:c r="C92" s="43"/>
      <x:c r="D92" s="43"/>
      <x:c r="E92" s="43"/>
      <x:c r="F92" s="43"/>
      <x:c r="G92" s="43"/>
      <x:c r="H92" s="52"/>
      <x:c r="I92" s="52"/>
      <x:c r="J92" s="55"/>
      <x:c r="K92" s="55"/>
      <x:c r="L92" s="58"/>
      <x:c r="M92" s="55" t="str">
        <x:f>IF(OR(H92="",J92=""),"",H92*J92)</x:f>
      </x:c>
      <x:c r="N92" s="44" t="str">
        <x:f>IF(B92="","",IF(H92=0,"Out of Stock",IF(H92&lt;=I92,"Low Stock","In Stock")))</x:f>
      </x:c>
    </x:row>
    <x:row r="93">
      <x:c r="A93" s="49"/>
      <x:c r="B93" s="43"/>
      <x:c r="C93" s="43"/>
      <x:c r="D93" s="43"/>
      <x:c r="E93" s="43"/>
      <x:c r="F93" s="43"/>
      <x:c r="G93" s="43"/>
      <x:c r="H93" s="52"/>
      <x:c r="I93" s="52"/>
      <x:c r="J93" s="55"/>
      <x:c r="K93" s="55"/>
      <x:c r="L93" s="58"/>
      <x:c r="M93" s="55" t="str">
        <x:f>IF(OR(H93="",J93=""),"",H93*J93)</x:f>
      </x:c>
      <x:c r="N93" s="44" t="str">
        <x:f>IF(B93="","",IF(H93=0,"Out of Stock",IF(H93&lt;=I93,"Low Stock","In Stock")))</x:f>
      </x:c>
    </x:row>
    <x:row r="94">
      <x:c r="A94" s="49"/>
      <x:c r="B94" s="43"/>
      <x:c r="C94" s="43"/>
      <x:c r="D94" s="43"/>
      <x:c r="E94" s="43"/>
      <x:c r="F94" s="43"/>
      <x:c r="G94" s="43"/>
      <x:c r="H94" s="52"/>
      <x:c r="I94" s="52"/>
      <x:c r="J94" s="55"/>
      <x:c r="K94" s="55"/>
      <x:c r="L94" s="58"/>
      <x:c r="M94" s="55" t="str">
        <x:f>IF(OR(H94="",J94=""),"",H94*J94)</x:f>
      </x:c>
      <x:c r="N94" s="44" t="str">
        <x:f>IF(B94="","",IF(H94=0,"Out of Stock",IF(H94&lt;=I94,"Low Stock","In Stock")))</x:f>
      </x:c>
    </x:row>
    <x:row r="95">
      <x:c r="A95" s="49"/>
      <x:c r="B95" s="43"/>
      <x:c r="C95" s="43"/>
      <x:c r="D95" s="43"/>
      <x:c r="E95" s="43"/>
      <x:c r="F95" s="43"/>
      <x:c r="G95" s="43"/>
      <x:c r="H95" s="52"/>
      <x:c r="I95" s="52"/>
      <x:c r="J95" s="55"/>
      <x:c r="K95" s="55"/>
      <x:c r="L95" s="58"/>
      <x:c r="M95" s="55" t="str">
        <x:f>IF(OR(H95="",J95=""),"",H95*J95)</x:f>
      </x:c>
      <x:c r="N95" s="44" t="str">
        <x:f>IF(B95="","",IF(H95=0,"Out of Stock",IF(H95&lt;=I95,"Low Stock","In Stock")))</x:f>
      </x:c>
    </x:row>
    <x:row r="96">
      <x:c r="A96" s="49"/>
      <x:c r="B96" s="43"/>
      <x:c r="C96" s="43"/>
      <x:c r="D96" s="43"/>
      <x:c r="E96" s="43"/>
      <x:c r="F96" s="43"/>
      <x:c r="G96" s="43"/>
      <x:c r="H96" s="52"/>
      <x:c r="I96" s="52"/>
      <x:c r="J96" s="55"/>
      <x:c r="K96" s="55"/>
      <x:c r="L96" s="58"/>
      <x:c r="M96" s="55" t="str">
        <x:f>IF(OR(H96="",J96=""),"",H96*J96)</x:f>
      </x:c>
      <x:c r="N96" s="44" t="str">
        <x:f>IF(B96="","",IF(H96=0,"Out of Stock",IF(H96&lt;=I96,"Low Stock","In Stock")))</x:f>
      </x:c>
    </x:row>
    <x:row r="97">
      <x:c r="A97" s="49"/>
      <x:c r="B97" s="43"/>
      <x:c r="C97" s="43"/>
      <x:c r="D97" s="43"/>
      <x:c r="E97" s="43"/>
      <x:c r="F97" s="43"/>
      <x:c r="G97" s="43"/>
      <x:c r="H97" s="52"/>
      <x:c r="I97" s="52"/>
      <x:c r="J97" s="55"/>
      <x:c r="K97" s="55"/>
      <x:c r="L97" s="58"/>
      <x:c r="M97" s="55" t="str">
        <x:f>IF(OR(H97="",J97=""),"",H97*J97)</x:f>
      </x:c>
      <x:c r="N97" s="44" t="str">
        <x:f>IF(B97="","",IF(H97=0,"Out of Stock",IF(H97&lt;=I97,"Low Stock","In Stock")))</x:f>
      </x:c>
    </x:row>
    <x:row r="98">
      <x:c r="A98" s="49"/>
      <x:c r="B98" s="43"/>
      <x:c r="C98" s="43"/>
      <x:c r="D98" s="43"/>
      <x:c r="E98" s="43"/>
      <x:c r="F98" s="43"/>
      <x:c r="G98" s="43"/>
      <x:c r="H98" s="52"/>
      <x:c r="I98" s="52"/>
      <x:c r="J98" s="55"/>
      <x:c r="K98" s="55"/>
      <x:c r="L98" s="58"/>
      <x:c r="M98" s="55" t="str">
        <x:f>IF(OR(H98="",J98=""),"",H98*J98)</x:f>
      </x:c>
      <x:c r="N98" s="44" t="str">
        <x:f>IF(B98="","",IF(H98=0,"Out of Stock",IF(H98&lt;=I98,"Low Stock","In Stock")))</x:f>
      </x:c>
    </x:row>
    <x:row r="99">
      <x:c r="A99" s="49"/>
      <x:c r="B99" s="43"/>
      <x:c r="C99" s="43"/>
      <x:c r="D99" s="43"/>
      <x:c r="E99" s="43"/>
      <x:c r="F99" s="43"/>
      <x:c r="G99" s="43"/>
      <x:c r="H99" s="52"/>
      <x:c r="I99" s="52"/>
      <x:c r="J99" s="55"/>
      <x:c r="K99" s="55"/>
      <x:c r="L99" s="58"/>
      <x:c r="M99" s="55" t="str">
        <x:f>IF(OR(H99="",J99=""),"",H99*J99)</x:f>
      </x:c>
      <x:c r="N99" s="44" t="str">
        <x:f>IF(B99="","",IF(H99=0,"Out of Stock",IF(H99&lt;=I99,"Low Stock","In Stock")))</x:f>
      </x:c>
    </x:row>
    <x:row r="100">
      <x:c r="A100" s="49"/>
      <x:c r="B100" s="43"/>
      <x:c r="C100" s="43"/>
      <x:c r="D100" s="43"/>
      <x:c r="E100" s="43"/>
      <x:c r="F100" s="43"/>
      <x:c r="G100" s="43"/>
      <x:c r="H100" s="52"/>
      <x:c r="I100" s="52"/>
      <x:c r="J100" s="55"/>
      <x:c r="K100" s="55"/>
      <x:c r="L100" s="58"/>
      <x:c r="M100" s="55" t="str">
        <x:f>IF(OR(H100="",J100=""),"",H100*J100)</x:f>
      </x:c>
      <x:c r="N100" s="44" t="str">
        <x:f>IF(B100="","",IF(H100=0,"Out of Stock",IF(H100&lt;=I100,"Low Stock","In Stock")))</x:f>
      </x:c>
    </x:row>
    <x:row r="101">
      <x:c r="A101" s="49"/>
      <x:c r="B101" s="43"/>
      <x:c r="C101" s="43"/>
      <x:c r="D101" s="43"/>
      <x:c r="E101" s="43"/>
      <x:c r="F101" s="43"/>
      <x:c r="G101" s="43"/>
      <x:c r="H101" s="52"/>
      <x:c r="I101" s="52"/>
      <x:c r="J101" s="55"/>
      <x:c r="K101" s="55"/>
      <x:c r="L101" s="58"/>
      <x:c r="M101" s="55" t="str">
        <x:f>IF(OR(H101="",J101=""),"",H101*J101)</x:f>
      </x:c>
      <x:c r="N101" s="44" t="str">
        <x:f>IF(B101="","",IF(H101=0,"Out of Stock",IF(H101&lt;=I101,"Low Stock","In Stock")))</x:f>
      </x:c>
    </x:row>
    <x:row r="102">
      <x:c r="A102" s="49"/>
      <x:c r="B102" s="43"/>
      <x:c r="C102" s="43"/>
      <x:c r="D102" s="43"/>
      <x:c r="E102" s="43"/>
      <x:c r="F102" s="43"/>
      <x:c r="G102" s="43"/>
      <x:c r="H102" s="52"/>
      <x:c r="I102" s="52"/>
      <x:c r="J102" s="55"/>
      <x:c r="K102" s="55"/>
      <x:c r="L102" s="58"/>
      <x:c r="M102" s="55" t="str">
        <x:f>IF(OR(H102="",J102=""),"",H102*J102)</x:f>
      </x:c>
      <x:c r="N102" s="44" t="str">
        <x:f>IF(B102="","",IF(H102=0,"Out of Stock",IF(H102&lt;=I102,"Low Stock","In Stock")))</x:f>
      </x:c>
    </x:row>
    <x:row r="103">
      <x:c r="A103" s="49"/>
      <x:c r="B103" s="43"/>
      <x:c r="C103" s="43"/>
      <x:c r="D103" s="43"/>
      <x:c r="E103" s="43"/>
      <x:c r="F103" s="43"/>
      <x:c r="G103" s="43"/>
      <x:c r="H103" s="52"/>
      <x:c r="I103" s="52"/>
      <x:c r="J103" s="55"/>
      <x:c r="K103" s="55"/>
      <x:c r="L103" s="58"/>
      <x:c r="M103" s="55" t="str">
        <x:f>IF(OR(H103="",J103=""),"",H103*J103)</x:f>
      </x:c>
      <x:c r="N103" s="44" t="str">
        <x:f>IF(B103="","",IF(H103=0,"Out of Stock",IF(H103&lt;=I103,"Low Stock","In Stock")))</x:f>
      </x:c>
    </x:row>
    <x:row r="104">
      <x:c r="A104" s="49"/>
      <x:c r="B104" s="43"/>
      <x:c r="C104" s="43"/>
      <x:c r="D104" s="43"/>
      <x:c r="E104" s="43"/>
      <x:c r="F104" s="43"/>
      <x:c r="G104" s="43"/>
      <x:c r="H104" s="52"/>
      <x:c r="I104" s="52"/>
      <x:c r="J104" s="55"/>
      <x:c r="K104" s="55"/>
      <x:c r="L104" s="58"/>
      <x:c r="M104" s="55" t="str">
        <x:f>IF(OR(H104="",J104=""),"",H104*J104)</x:f>
      </x:c>
      <x:c r="N104" s="44" t="str">
        <x:f>IF(B104="","",IF(H104=0,"Out of Stock",IF(H104&lt;=I104,"Low Stock","In Stock")))</x:f>
      </x:c>
    </x:row>
    <x:row r="105">
      <x:c r="A105" s="49"/>
      <x:c r="B105" s="43"/>
      <x:c r="C105" s="43"/>
      <x:c r="D105" s="43"/>
      <x:c r="E105" s="43"/>
      <x:c r="F105" s="43"/>
      <x:c r="G105" s="43"/>
      <x:c r="H105" s="52"/>
      <x:c r="I105" s="52"/>
      <x:c r="J105" s="55"/>
      <x:c r="K105" s="55"/>
      <x:c r="L105" s="58"/>
      <x:c r="M105" s="55" t="str">
        <x:f>IF(OR(H105="",J105=""),"",H105*J105)</x:f>
      </x:c>
      <x:c r="N105" s="44" t="str">
        <x:f>IF(B105="","",IF(H105=0,"Out of Stock",IF(H105&lt;=I105,"Low Stock","In Stock")))</x:f>
      </x:c>
    </x:row>
    <x:row r="106">
      <x:c r="A106" s="49"/>
      <x:c r="B106" s="43"/>
      <x:c r="C106" s="43"/>
      <x:c r="D106" s="43"/>
      <x:c r="E106" s="43"/>
      <x:c r="F106" s="43"/>
      <x:c r="G106" s="43"/>
      <x:c r="H106" s="52"/>
      <x:c r="I106" s="52"/>
      <x:c r="J106" s="55"/>
      <x:c r="K106" s="55"/>
      <x:c r="L106" s="58"/>
      <x:c r="M106" s="55" t="str">
        <x:f>IF(OR(H106="",J106=""),"",H106*J106)</x:f>
      </x:c>
      <x:c r="N106" s="44" t="str">
        <x:f>IF(B106="","",IF(H106=0,"Out of Stock",IF(H106&lt;=I106,"Low Stock","In Stock")))</x:f>
      </x:c>
    </x:row>
    <x:row r="107">
      <x:c r="A107" s="50"/>
      <x:c r="B107" s="46"/>
      <x:c r="C107" s="46"/>
      <x:c r="D107" s="46"/>
      <x:c r="E107" s="46"/>
      <x:c r="F107" s="46"/>
      <x:c r="G107" s="46"/>
      <x:c r="H107" s="53"/>
      <x:c r="I107" s="53"/>
      <x:c r="J107" s="56"/>
      <x:c r="K107" s="56"/>
      <x:c r="L107" s="59"/>
      <x:c r="M107" s="56" t="str">
        <x:f>IF(OR(H107="",J107=""),"",H107*J107)</x:f>
      </x:c>
      <x:c r="N107" s="47" t="str">
        <x:f>IF(B107="","",IF(H107=0,"Out of Stock",IF(H107&lt;=I107,"Low Stock","In Stock")))</x:f>
      </x:c>
    </x:row>
  </x:sheetData>
  <x:mergeCells>
    <x:mergeCell ref="A1:N1"/>
    <x:mergeCell ref="A2:N2"/>
    <x:mergeCell ref="A4:B4"/>
    <x:mergeCell ref="D4:E4"/>
    <x:mergeCell ref="G4:H4"/>
    <x:mergeCell ref="J4:K4"/>
    <x:mergeCell ref="M4:N4"/>
    <x:mergeCell ref="A5:B5"/>
    <x:mergeCell ref="D5:E5"/>
    <x:mergeCell ref="G5:H5"/>
    <x:mergeCell ref="J5:K5"/>
    <x:mergeCell ref="M5:N5"/>
  </x:mergeCells>
  <x:conditionalFormatting sqref="N8:N107">
    <x:cfRule type="containsText" dxfId="0" priority="1" operator="containsText" text="Out of Stock"/>
    <x:cfRule type="containsText" dxfId="1" priority="2" operator="containsText" text="Low Stock"/>
    <x:cfRule type="containsText" dxfId="2" priority="3" operator="containsText" text="In Stock"/>
  </x:conditionalFormatting>
  <x:dataValidations count="5">
    <x:dataValidation type="list" sqref="C8:C107">
      <x:formula1>'Lists'!$A$2:$A$9</x:formula1>
    </x:dataValidation>
    <x:dataValidation type="list" sqref="G8:G107">
      <x:formula1>'Lists'!$B$2:$B$8</x:formula1>
    </x:dataValidation>
    <x:dataValidation type="whole" operator="greaterThanOrEqual" sqref="H8:H107">
      <x:formula1>0</x:formula1>
    </x:dataValidation>
    <x:dataValidation type="whole" operator="greaterThanOrEqual" sqref="I8:I107">
      <x:formula1>0</x:formula1>
    </x:dataValidation>
    <x:dataValidation type="decimal" operator="greaterThanOrEqual" sqref="J8:K10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e15006d19044e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>
      <x:c r="A1" s="62" t="str">
        <x:v>Categories</x:v>
      </x:c>
      <x:c r="B1" s="63" t="str">
        <x:v>Units</x:v>
      </x:c>
    </x:row>
    <x:row r="2">
      <x:c r="A2" s="33" t="str">
        <x:v>Electronics</x:v>
      </x:c>
      <x:c r="B2" s="35" t="str">
        <x:v>Each</x:v>
      </x:c>
    </x:row>
    <x:row r="3">
      <x:c r="A3" s="33" t="str">
        <x:v>Office Supplies</x:v>
      </x:c>
      <x:c r="B3" s="35" t="str">
        <x:v>Box</x:v>
      </x:c>
    </x:row>
    <x:row r="4">
      <x:c r="A4" s="33" t="str">
        <x:v>Furniture</x:v>
      </x:c>
      <x:c r="B4" s="35" t="str">
        <x:v>Pack</x:v>
      </x:c>
    </x:row>
    <x:row r="5">
      <x:c r="A5" s="33" t="str">
        <x:v>Tools</x:v>
      </x:c>
      <x:c r="B5" s="35" t="str">
        <x:v>Kg</x:v>
      </x:c>
    </x:row>
    <x:row r="6">
      <x:c r="A6" s="33" t="str">
        <x:v>Raw Materials</x:v>
      </x:c>
      <x:c r="B6" s="35" t="str">
        <x:v>Litre</x:v>
      </x:c>
    </x:row>
    <x:row r="7">
      <x:c r="A7" s="33" t="str">
        <x:v>Packaging</x:v>
      </x:c>
      <x:c r="B7" s="35" t="str">
        <x:v>Metre</x:v>
      </x:c>
    </x:row>
    <x:row r="8">
      <x:c r="A8" s="33" t="str">
        <x:v>Cleaning Supplies</x:v>
      </x:c>
      <x:c r="B8" s="35" t="str">
        <x:v>Set</x:v>
      </x:c>
    </x:row>
    <x:row r="9">
      <x:c r="A9" s="36" t="str">
        <x:v>Other</x:v>
      </x:c>
      <x:c r="B9" s="38"/>
    </x:row>
  </x:sheetData>
  <x:pageMargins left="0.7" right="0.7" top="0.75" bottom="0.75" header="0.3" footer="0.3"/>
</x:worksheet>
</file>